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0730" windowHeight="9795" firstSheet="1" activeTab="1"/>
  </bookViews>
  <sheets>
    <sheet name="COST SHEET   (2)" sheetId="37" state="hidden" r:id="rId1"/>
    <sheet name="FRONT PAGE" sheetId="40" r:id="rId2"/>
    <sheet name="XETMA-1" sheetId="16" state="hidden" r:id="rId3"/>
    <sheet name="Osthoff-1" sheetId="41" r:id="rId4"/>
    <sheet name="Osthoff-2" sheetId="42" r:id="rId5"/>
    <sheet name="PTR" sheetId="43" r:id="rId6"/>
    <sheet name="NPS" sheetId="44" r:id="rId7"/>
    <sheet name="Perble" sheetId="45" r:id="rId8"/>
    <sheet name="Lafer-1" sheetId="46" r:id="rId9"/>
    <sheet name="Lafer-2" sheetId="47" r:id="rId10"/>
    <sheet name="Lafer-3" sheetId="48" r:id="rId11"/>
    <sheet name="Lafer-4" sheetId="49" r:id="rId12"/>
    <sheet name="Lafer-5-Raising" sheetId="50" r:id="rId13"/>
    <sheet name="Lafer-5-Shearing" sheetId="51" r:id="rId14"/>
    <sheet name="Soaper" sheetId="52" r:id="rId15"/>
    <sheet name="Merceriser-1" sheetId="53" r:id="rId16"/>
    <sheet name="Merceriser-2" sheetId="54" r:id="rId17"/>
    <sheet name="Xetma-2" sheetId="56" r:id="rId18"/>
    <sheet name="Swastik" sheetId="57" r:id="rId19"/>
    <sheet name="Xetma-3" sheetId="58" r:id="rId20"/>
    <sheet name="Sheet19" sheetId="59" r:id="rId21"/>
  </sheets>
  <externalReferences>
    <externalReference r:id="rId22"/>
  </externalReferences>
  <definedNames>
    <definedName name="Excel_BuiltIn__FilterDatabase_5">NA()</definedName>
    <definedName name="_xlnm.Print_Area" localSheetId="0">'COST SHEET   (2)'!$A$1:$D$112</definedName>
    <definedName name="_xlnm.Print_Area" localSheetId="1">'FRONT PAGE'!$A$1:$AR$61</definedName>
    <definedName name="_xlnm.Print_Area" localSheetId="2">'XETMA-1'!$A$1:J35</definedName>
  </definedNames>
  <calcPr calcId="144525"/>
</workbook>
</file>

<file path=xl/calcChain.xml><?xml version="1.0" encoding="utf-8"?>
<calcChain xmlns="http://schemas.openxmlformats.org/spreadsheetml/2006/main">
  <c r="K55" i="40" l="1"/>
  <c r="K54" i="40"/>
  <c r="K43" i="40" l="1"/>
  <c r="I43" i="40"/>
  <c r="G43" i="40"/>
  <c r="E43" i="40"/>
  <c r="C43" i="40"/>
  <c r="AK43" i="40"/>
  <c r="AI43" i="40"/>
  <c r="AG43" i="40"/>
  <c r="AE43" i="40"/>
  <c r="AC43" i="40"/>
  <c r="AA43" i="40"/>
  <c r="Y43" i="40"/>
  <c r="W43" i="40"/>
  <c r="U43" i="40"/>
  <c r="S43" i="40"/>
  <c r="O43" i="40"/>
  <c r="M43" i="40"/>
  <c r="S40" i="40"/>
  <c r="S39" i="40"/>
  <c r="AE39" i="40"/>
  <c r="AA26" i="40"/>
  <c r="G39" i="40"/>
  <c r="G38" i="40"/>
  <c r="G36" i="40"/>
  <c r="G35" i="40"/>
  <c r="G34" i="40"/>
  <c r="G33" i="40"/>
  <c r="E39" i="40"/>
  <c r="E38" i="40"/>
  <c r="E36" i="40"/>
  <c r="E35" i="40"/>
  <c r="E34" i="40"/>
  <c r="E33" i="40"/>
  <c r="C39" i="40"/>
  <c r="C38" i="40"/>
  <c r="C36" i="40"/>
  <c r="C35" i="40"/>
  <c r="C34" i="40"/>
  <c r="C33" i="40"/>
  <c r="AK14" i="40" l="1"/>
  <c r="AK13" i="40"/>
  <c r="AI14" i="40"/>
  <c r="AI13" i="40"/>
  <c r="AG14" i="40"/>
  <c r="AG13" i="40"/>
  <c r="AE14" i="40"/>
  <c r="AE13" i="40"/>
  <c r="AC14" i="40"/>
  <c r="AC13" i="40"/>
  <c r="AA14" i="40"/>
  <c r="AA13" i="40"/>
  <c r="Y14" i="40"/>
  <c r="Y13" i="40"/>
  <c r="W14" i="40"/>
  <c r="W13" i="40"/>
  <c r="U14" i="40"/>
  <c r="U13" i="40"/>
  <c r="S14" i="40"/>
  <c r="S13" i="40"/>
  <c r="AK7" i="40"/>
  <c r="AK5" i="40"/>
  <c r="AK4" i="40"/>
  <c r="AI7" i="40"/>
  <c r="AI5" i="40"/>
  <c r="AI4" i="40"/>
  <c r="AG7" i="40"/>
  <c r="AG5" i="40"/>
  <c r="AG4" i="40"/>
  <c r="AE7" i="40"/>
  <c r="AE5" i="40"/>
  <c r="AE4" i="40"/>
  <c r="AC7" i="40"/>
  <c r="AC5" i="40"/>
  <c r="AC4" i="40"/>
  <c r="AA7" i="40"/>
  <c r="AA5" i="40"/>
  <c r="AA4" i="40"/>
  <c r="Y7" i="40"/>
  <c r="Y5" i="40"/>
  <c r="Y4" i="40"/>
  <c r="W7" i="40"/>
  <c r="W5" i="40"/>
  <c r="W4" i="40"/>
  <c r="U7" i="40"/>
  <c r="U5" i="40"/>
  <c r="U4" i="40"/>
  <c r="S7" i="40"/>
  <c r="AK39" i="40"/>
  <c r="AK38" i="40"/>
  <c r="AK37" i="40"/>
  <c r="AK36" i="40"/>
  <c r="AK35" i="40"/>
  <c r="AK34" i="40"/>
  <c r="AK33" i="40"/>
  <c r="AI39" i="40"/>
  <c r="AI38" i="40"/>
  <c r="AI37" i="40"/>
  <c r="AI36" i="40"/>
  <c r="AI35" i="40"/>
  <c r="AI34" i="40"/>
  <c r="AI33" i="40"/>
  <c r="AG39" i="40"/>
  <c r="AG38" i="40"/>
  <c r="AG37" i="40"/>
  <c r="AG36" i="40"/>
  <c r="AG35" i="40"/>
  <c r="AG34" i="40"/>
  <c r="AG33" i="40"/>
  <c r="AE38" i="40"/>
  <c r="AE37" i="40"/>
  <c r="AE36" i="40"/>
  <c r="AE35" i="40"/>
  <c r="AE34" i="40"/>
  <c r="AE33" i="40"/>
  <c r="AC39" i="40"/>
  <c r="AC38" i="40"/>
  <c r="AC37" i="40"/>
  <c r="AC36" i="40"/>
  <c r="AC35" i="40"/>
  <c r="AC34" i="40"/>
  <c r="AC33" i="40"/>
  <c r="AA39" i="40"/>
  <c r="AA38" i="40"/>
  <c r="AA37" i="40"/>
  <c r="AA36" i="40"/>
  <c r="AA35" i="40"/>
  <c r="AA34" i="40"/>
  <c r="AA33" i="40"/>
  <c r="Y39" i="40"/>
  <c r="Y38" i="40"/>
  <c r="Y37" i="40"/>
  <c r="Y36" i="40"/>
  <c r="Y35" i="40"/>
  <c r="Y34" i="40"/>
  <c r="Y33" i="40"/>
  <c r="W39" i="40"/>
  <c r="W38" i="40"/>
  <c r="W37" i="40"/>
  <c r="W36" i="40"/>
  <c r="W35" i="40"/>
  <c r="W34" i="40"/>
  <c r="W33" i="40"/>
  <c r="U39" i="40"/>
  <c r="U38" i="40"/>
  <c r="U37" i="40"/>
  <c r="U36" i="40"/>
  <c r="U35" i="40"/>
  <c r="U34" i="40"/>
  <c r="U33" i="40"/>
  <c r="S38" i="40"/>
  <c r="S37" i="40"/>
  <c r="S36" i="40"/>
  <c r="S35" i="40"/>
  <c r="S34" i="40"/>
  <c r="S33" i="40"/>
  <c r="AK26" i="40"/>
  <c r="AK25" i="40"/>
  <c r="AK24" i="40"/>
  <c r="AK23" i="40"/>
  <c r="AK22" i="40"/>
  <c r="AI26" i="40"/>
  <c r="AI25" i="40"/>
  <c r="AI24" i="40"/>
  <c r="AI23" i="40"/>
  <c r="AI22" i="40"/>
  <c r="AG26" i="40"/>
  <c r="AG25" i="40"/>
  <c r="AG24" i="40"/>
  <c r="AG23" i="40"/>
  <c r="AG22" i="40"/>
  <c r="AE26" i="40"/>
  <c r="AE25" i="40"/>
  <c r="AE24" i="40"/>
  <c r="AE23" i="40"/>
  <c r="AE22" i="40"/>
  <c r="AC26" i="40"/>
  <c r="AC25" i="40"/>
  <c r="AC24" i="40"/>
  <c r="AC23" i="40"/>
  <c r="AC22" i="40"/>
  <c r="AA25" i="40"/>
  <c r="AA24" i="40"/>
  <c r="AA23" i="40"/>
  <c r="AA22" i="40"/>
  <c r="Y26" i="40"/>
  <c r="Y25" i="40"/>
  <c r="Y24" i="40"/>
  <c r="Y23" i="40"/>
  <c r="Y22" i="40"/>
  <c r="W26" i="40"/>
  <c r="W25" i="40"/>
  <c r="W24" i="40"/>
  <c r="W23" i="40"/>
  <c r="W22" i="40"/>
  <c r="U26" i="40"/>
  <c r="U25" i="40"/>
  <c r="U24" i="40"/>
  <c r="U23" i="40"/>
  <c r="U22" i="40"/>
  <c r="S26" i="40"/>
  <c r="S25" i="40"/>
  <c r="S24" i="40"/>
  <c r="S23" i="40"/>
  <c r="S22" i="40"/>
  <c r="O37" i="40"/>
  <c r="M37" i="40"/>
  <c r="K37" i="40"/>
  <c r="G37" i="40"/>
  <c r="E37" i="40"/>
  <c r="C37" i="40"/>
  <c r="O39" i="40"/>
  <c r="O38" i="40"/>
  <c r="O36" i="40"/>
  <c r="O35" i="40"/>
  <c r="O34" i="40"/>
  <c r="O33" i="40"/>
  <c r="M39" i="40"/>
  <c r="M38" i="40"/>
  <c r="M36" i="40"/>
  <c r="M35" i="40"/>
  <c r="M34" i="40"/>
  <c r="M33" i="40"/>
  <c r="K39" i="40"/>
  <c r="K38" i="40"/>
  <c r="K35" i="40"/>
  <c r="K34" i="40"/>
  <c r="K33" i="40"/>
  <c r="I39" i="40"/>
  <c r="I38" i="40"/>
  <c r="I37" i="40"/>
  <c r="I36" i="40"/>
  <c r="I34" i="40"/>
  <c r="I33" i="40"/>
  <c r="O25" i="40"/>
  <c r="O24" i="40"/>
  <c r="O23" i="40"/>
  <c r="O22" i="40"/>
  <c r="M26" i="40"/>
  <c r="M25" i="40"/>
  <c r="M24" i="40"/>
  <c r="M23" i="40"/>
  <c r="M22" i="40"/>
  <c r="K26" i="40"/>
  <c r="K25" i="40"/>
  <c r="K24" i="40"/>
  <c r="K23" i="40"/>
  <c r="K22" i="40"/>
  <c r="I26" i="40"/>
  <c r="I25" i="40"/>
  <c r="I24" i="40"/>
  <c r="K36" i="40"/>
  <c r="I35" i="40"/>
  <c r="I23" i="40"/>
  <c r="I22" i="40"/>
  <c r="G26" i="40" l="1"/>
  <c r="G25" i="40"/>
  <c r="G24" i="40"/>
  <c r="G23" i="40"/>
  <c r="G22" i="40"/>
  <c r="E26" i="40"/>
  <c r="E25" i="40"/>
  <c r="E24" i="40"/>
  <c r="E23" i="40"/>
  <c r="F23" i="40" s="1"/>
  <c r="E22" i="40"/>
  <c r="C26" i="40"/>
  <c r="C25" i="40"/>
  <c r="C24" i="40"/>
  <c r="C23" i="40"/>
  <c r="C22" i="40"/>
  <c r="O14" i="40"/>
  <c r="P14" i="40" s="1"/>
  <c r="O13" i="40"/>
  <c r="M14" i="40"/>
  <c r="M13" i="40"/>
  <c r="K14" i="40"/>
  <c r="K15" i="40" s="1"/>
  <c r="K13" i="40"/>
  <c r="I14" i="40"/>
  <c r="I15" i="40" s="1"/>
  <c r="I13" i="40"/>
  <c r="J13" i="40" s="1"/>
  <c r="G14" i="40"/>
  <c r="G13" i="40"/>
  <c r="C14" i="40"/>
  <c r="D14" i="40" s="1"/>
  <c r="E14" i="40"/>
  <c r="E13" i="40"/>
  <c r="C13" i="40"/>
  <c r="O7" i="40"/>
  <c r="M7" i="40"/>
  <c r="K7" i="40"/>
  <c r="K9" i="40" s="1"/>
  <c r="I7" i="40"/>
  <c r="G7" i="40"/>
  <c r="E7" i="40"/>
  <c r="C7" i="40"/>
  <c r="S5" i="40"/>
  <c r="S4" i="40"/>
  <c r="O5" i="40"/>
  <c r="O4" i="40"/>
  <c r="M5" i="40"/>
  <c r="J58" i="40" s="1"/>
  <c r="M4" i="40"/>
  <c r="K5" i="40"/>
  <c r="K4" i="40"/>
  <c r="C5" i="40"/>
  <c r="E5" i="40"/>
  <c r="G5" i="40"/>
  <c r="I5" i="40"/>
  <c r="I4" i="40"/>
  <c r="I9" i="40" s="1"/>
  <c r="V35" i="58"/>
  <c r="U35" i="58"/>
  <c r="T35" i="58"/>
  <c r="S35" i="58"/>
  <c r="R35" i="58"/>
  <c r="Q35" i="58"/>
  <c r="P35" i="58"/>
  <c r="O35" i="58"/>
  <c r="N35" i="58"/>
  <c r="M35" i="58"/>
  <c r="L35" i="58"/>
  <c r="K35" i="58"/>
  <c r="J35" i="58"/>
  <c r="I35" i="58"/>
  <c r="G35" i="58"/>
  <c r="F35" i="58"/>
  <c r="D35" i="58"/>
  <c r="C35" i="58"/>
  <c r="B35" i="58"/>
  <c r="W34" i="58"/>
  <c r="E34" i="58"/>
  <c r="W33" i="58"/>
  <c r="E33" i="58"/>
  <c r="W32" i="58"/>
  <c r="E32" i="58"/>
  <c r="W31" i="58"/>
  <c r="E31" i="58"/>
  <c r="W30" i="58"/>
  <c r="E30" i="58"/>
  <c r="W29" i="58"/>
  <c r="E29" i="58"/>
  <c r="W28" i="58"/>
  <c r="E28" i="58"/>
  <c r="W27" i="58"/>
  <c r="E27" i="58"/>
  <c r="W26" i="58"/>
  <c r="E26" i="58"/>
  <c r="W25" i="58"/>
  <c r="E25" i="58"/>
  <c r="W24" i="58"/>
  <c r="E24" i="58"/>
  <c r="W23" i="58"/>
  <c r="E23" i="58"/>
  <c r="W22" i="58"/>
  <c r="E22" i="58"/>
  <c r="W21" i="58"/>
  <c r="E21" i="58"/>
  <c r="W20" i="58"/>
  <c r="E20" i="58"/>
  <c r="W19" i="58"/>
  <c r="E19" i="58"/>
  <c r="W18" i="58"/>
  <c r="E18" i="58"/>
  <c r="W17" i="58"/>
  <c r="E17" i="58"/>
  <c r="W16" i="58"/>
  <c r="E16" i="58"/>
  <c r="W15" i="58"/>
  <c r="E15" i="58"/>
  <c r="W14" i="58"/>
  <c r="E14" i="58"/>
  <c r="W13" i="58"/>
  <c r="E13" i="58"/>
  <c r="W12" i="58"/>
  <c r="E12" i="58"/>
  <c r="W11" i="58"/>
  <c r="E11" i="58"/>
  <c r="W10" i="58"/>
  <c r="E10" i="58"/>
  <c r="W9" i="58"/>
  <c r="E9" i="58"/>
  <c r="W8" i="58"/>
  <c r="E8" i="58"/>
  <c r="W7" i="58"/>
  <c r="E7" i="58"/>
  <c r="W6" i="58"/>
  <c r="E6" i="58"/>
  <c r="W5" i="58"/>
  <c r="H5" i="58"/>
  <c r="H6" i="58" s="1"/>
  <c r="H7" i="58" s="1"/>
  <c r="H8" i="58" s="1"/>
  <c r="H9" i="58" s="1"/>
  <c r="H10" i="58" s="1"/>
  <c r="H11" i="58" s="1"/>
  <c r="H12" i="58" s="1"/>
  <c r="H13" i="58" s="1"/>
  <c r="H14" i="58" s="1"/>
  <c r="H15" i="58" s="1"/>
  <c r="H16" i="58" s="1"/>
  <c r="H17" i="58" s="1"/>
  <c r="H18" i="58" s="1"/>
  <c r="H19" i="58" s="1"/>
  <c r="H20" i="58" s="1"/>
  <c r="H21" i="58" s="1"/>
  <c r="H22" i="58" s="1"/>
  <c r="H23" i="58" s="1"/>
  <c r="H24" i="58" s="1"/>
  <c r="H25" i="58" s="1"/>
  <c r="H26" i="58" s="1"/>
  <c r="H27" i="58" s="1"/>
  <c r="H28" i="58" s="1"/>
  <c r="H29" i="58" s="1"/>
  <c r="H30" i="58" s="1"/>
  <c r="H31" i="58" s="1"/>
  <c r="H32" i="58" s="1"/>
  <c r="H33" i="58" s="1"/>
  <c r="H34" i="58" s="1"/>
  <c r="H35" i="58" s="1"/>
  <c r="E5" i="58"/>
  <c r="W4" i="58"/>
  <c r="W35" i="58" s="1"/>
  <c r="H4" i="58"/>
  <c r="E4" i="58"/>
  <c r="E35" i="58" s="1"/>
  <c r="G4" i="40"/>
  <c r="E4" i="40"/>
  <c r="C4" i="40"/>
  <c r="J55" i="40"/>
  <c r="J54" i="40"/>
  <c r="J56" i="40" s="1"/>
  <c r="AL44" i="40"/>
  <c r="AJ44" i="40"/>
  <c r="AH44" i="40"/>
  <c r="AF44" i="40"/>
  <c r="AD44" i="40"/>
  <c r="AB44" i="40"/>
  <c r="Z44" i="40"/>
  <c r="X44" i="40"/>
  <c r="V44" i="40"/>
  <c r="T44" i="40"/>
  <c r="R44" i="40"/>
  <c r="Q44" i="40"/>
  <c r="P44" i="40"/>
  <c r="N44" i="40"/>
  <c r="L44" i="40"/>
  <c r="AQ43" i="40"/>
  <c r="AO43" i="40"/>
  <c r="AK44" i="40"/>
  <c r="U44" i="40"/>
  <c r="AA40" i="40"/>
  <c r="I40" i="40"/>
  <c r="AQ39" i="40"/>
  <c r="AO39" i="40"/>
  <c r="AQ38" i="40"/>
  <c r="AO38" i="40"/>
  <c r="AP38" i="40" s="1"/>
  <c r="X38" i="40"/>
  <c r="F38" i="40"/>
  <c r="AQ37" i="40"/>
  <c r="AO37" i="40"/>
  <c r="AH37" i="40"/>
  <c r="AF37" i="40"/>
  <c r="AD37" i="40"/>
  <c r="P37" i="40"/>
  <c r="N37" i="40"/>
  <c r="L37" i="40"/>
  <c r="AQ36" i="40"/>
  <c r="AO36" i="40"/>
  <c r="AP36" i="40" s="1"/>
  <c r="AL36" i="40"/>
  <c r="AJ36" i="40"/>
  <c r="X36" i="40"/>
  <c r="V36" i="40"/>
  <c r="T36" i="40"/>
  <c r="F36" i="40"/>
  <c r="D36" i="40"/>
  <c r="AQ35" i="40"/>
  <c r="AO35" i="40"/>
  <c r="AQ34" i="40"/>
  <c r="AO34" i="40"/>
  <c r="AJ34" i="40"/>
  <c r="AH34" i="40"/>
  <c r="AF34" i="40"/>
  <c r="T34" i="40"/>
  <c r="P34" i="40"/>
  <c r="N34" i="40"/>
  <c r="AQ33" i="40"/>
  <c r="AO33" i="40"/>
  <c r="AP33" i="40" s="1"/>
  <c r="AP40" i="40" s="1"/>
  <c r="AL33" i="40"/>
  <c r="AI40" i="40"/>
  <c r="AG40" i="40"/>
  <c r="X33" i="40"/>
  <c r="V33" i="40"/>
  <c r="O40" i="40"/>
  <c r="F33" i="40"/>
  <c r="D33" i="40"/>
  <c r="AQ28" i="40"/>
  <c r="AO28" i="40"/>
  <c r="AE28" i="40"/>
  <c r="AC28" i="40"/>
  <c r="AA28" i="40"/>
  <c r="M28" i="40"/>
  <c r="AQ26" i="40"/>
  <c r="AO26" i="40"/>
  <c r="AP26" i="40" s="1"/>
  <c r="AL26" i="40"/>
  <c r="X26" i="40"/>
  <c r="V26" i="40"/>
  <c r="O26" i="40"/>
  <c r="O28" i="40" s="1"/>
  <c r="K28" i="40"/>
  <c r="L28" i="40" s="1"/>
  <c r="J26" i="40"/>
  <c r="AQ25" i="40"/>
  <c r="AO25" i="40"/>
  <c r="AP25" i="40" s="1"/>
  <c r="AL25" i="40"/>
  <c r="AJ25" i="40"/>
  <c r="AB25" i="40"/>
  <c r="X25" i="40"/>
  <c r="J25" i="40"/>
  <c r="AQ24" i="40"/>
  <c r="AO24" i="40"/>
  <c r="AP24" i="40" s="1"/>
  <c r="AL24" i="40"/>
  <c r="AJ24" i="40"/>
  <c r="AH24" i="40"/>
  <c r="Z24" i="40"/>
  <c r="X24" i="40"/>
  <c r="AQ23" i="40"/>
  <c r="AO23" i="40"/>
  <c r="AP23" i="40" s="1"/>
  <c r="AL23" i="40"/>
  <c r="AJ23" i="40"/>
  <c r="AH23" i="40"/>
  <c r="AF23" i="40"/>
  <c r="X23" i="40"/>
  <c r="AQ22" i="40"/>
  <c r="AO22" i="40"/>
  <c r="AK28" i="40"/>
  <c r="AJ22" i="40"/>
  <c r="AH22" i="40"/>
  <c r="AF22" i="40"/>
  <c r="X22" i="40"/>
  <c r="V22" i="40"/>
  <c r="U28" i="40"/>
  <c r="T22" i="40"/>
  <c r="L22" i="40"/>
  <c r="E28" i="40"/>
  <c r="AE15" i="40"/>
  <c r="W15" i="40"/>
  <c r="U15" i="40"/>
  <c r="G15" i="40"/>
  <c r="AQ14" i="40"/>
  <c r="AO14" i="40"/>
  <c r="AP14" i="40" s="1"/>
  <c r="AL14" i="40"/>
  <c r="AJ14" i="40"/>
  <c r="AG15" i="40"/>
  <c r="AF14" i="40"/>
  <c r="Z14" i="40"/>
  <c r="X14" i="40"/>
  <c r="N14" i="40"/>
  <c r="AQ13" i="40"/>
  <c r="AQ15" i="40" s="1"/>
  <c r="AO13" i="40"/>
  <c r="AO15" i="40" s="1"/>
  <c r="AK15" i="40"/>
  <c r="AJ13" i="40"/>
  <c r="AJ15" i="40" s="1"/>
  <c r="AH13" i="40"/>
  <c r="AF13" i="40"/>
  <c r="AC15" i="40"/>
  <c r="AB13" i="40"/>
  <c r="AA15" i="40"/>
  <c r="V13" i="40"/>
  <c r="T13" i="40"/>
  <c r="S15" i="40"/>
  <c r="P13" i="40"/>
  <c r="O15" i="40"/>
  <c r="N13" i="40"/>
  <c r="M15" i="40"/>
  <c r="D13" i="40"/>
  <c r="AQ10" i="40"/>
  <c r="AR39" i="40" s="1"/>
  <c r="AO10" i="40"/>
  <c r="AP39" i="40" s="1"/>
  <c r="AK10" i="40"/>
  <c r="AL39" i="40" s="1"/>
  <c r="AI10" i="40"/>
  <c r="AG10" i="40"/>
  <c r="AE10" i="40"/>
  <c r="AF39" i="40" s="1"/>
  <c r="AC10" i="40"/>
  <c r="AD39" i="40" s="1"/>
  <c r="AA10" i="40"/>
  <c r="AB39" i="40" s="1"/>
  <c r="Y10" i="40"/>
  <c r="Z39" i="40" s="1"/>
  <c r="W10" i="40"/>
  <c r="X39" i="40" s="1"/>
  <c r="U10" i="40"/>
  <c r="V39" i="40" s="1"/>
  <c r="S10" i="40"/>
  <c r="O10" i="40"/>
  <c r="M10" i="40"/>
  <c r="N39" i="40" s="1"/>
  <c r="K10" i="40"/>
  <c r="L39" i="40" s="1"/>
  <c r="I10" i="40"/>
  <c r="G10" i="40"/>
  <c r="E10" i="40"/>
  <c r="C10" i="40"/>
  <c r="D22" i="40" s="1"/>
  <c r="AI9" i="40"/>
  <c r="AG9" i="40"/>
  <c r="AE9" i="40"/>
  <c r="S9" i="40"/>
  <c r="O9" i="40"/>
  <c r="M9" i="40"/>
  <c r="AO8" i="40"/>
  <c r="AK8" i="40"/>
  <c r="AI8" i="40"/>
  <c r="AG8" i="40"/>
  <c r="W8" i="40"/>
  <c r="U8" i="40"/>
  <c r="S8" i="40"/>
  <c r="O8" i="40"/>
  <c r="E8" i="40"/>
  <c r="C8" i="40"/>
  <c r="AQ7" i="40"/>
  <c r="AO7" i="40"/>
  <c r="AE8" i="40"/>
  <c r="AC9" i="40"/>
  <c r="AA8" i="40"/>
  <c r="M8" i="40"/>
  <c r="I8" i="40"/>
  <c r="AQ5" i="40"/>
  <c r="AO5" i="40"/>
  <c r="J57" i="40"/>
  <c r="AQ4" i="40"/>
  <c r="AQ9" i="40" s="1"/>
  <c r="AO4" i="40"/>
  <c r="AO44" i="40" s="1"/>
  <c r="AK9" i="40"/>
  <c r="AA9" i="40"/>
  <c r="Y9" i="40"/>
  <c r="W44" i="40"/>
  <c r="U9" i="40"/>
  <c r="G9" i="40"/>
  <c r="E9" i="40"/>
  <c r="L54" i="40" l="1"/>
  <c r="L55" i="40"/>
  <c r="L56" i="40" s="1"/>
  <c r="J60" i="40" s="1"/>
  <c r="H24" i="40"/>
  <c r="C28" i="40"/>
  <c r="D15" i="40"/>
  <c r="E15" i="40"/>
  <c r="F13" i="40"/>
  <c r="C9" i="40"/>
  <c r="J59" i="40"/>
  <c r="C44" i="40"/>
  <c r="O51" i="40"/>
  <c r="S51" i="40"/>
  <c r="AI15" i="40"/>
  <c r="H22" i="40"/>
  <c r="X28" i="40"/>
  <c r="AP51" i="40"/>
  <c r="Z38" i="40"/>
  <c r="L13" i="40"/>
  <c r="Y15" i="40"/>
  <c r="AL22" i="40"/>
  <c r="AL28" i="40" s="1"/>
  <c r="L25" i="40"/>
  <c r="Z33" i="40"/>
  <c r="AB38" i="40"/>
  <c r="M40" i="40"/>
  <c r="M51" i="40" s="1"/>
  <c r="AE40" i="40"/>
  <c r="AE51" i="40" s="1"/>
  <c r="G44" i="40"/>
  <c r="Y44" i="40"/>
  <c r="AQ44" i="40"/>
  <c r="AD14" i="40"/>
  <c r="AB22" i="40"/>
  <c r="AP22" i="40"/>
  <c r="AP28" i="40" s="1"/>
  <c r="AB23" i="40"/>
  <c r="N24" i="40"/>
  <c r="AB24" i="40"/>
  <c r="N25" i="40"/>
  <c r="AR25" i="40"/>
  <c r="N26" i="40"/>
  <c r="AR26" i="40"/>
  <c r="AG28" i="40"/>
  <c r="AG51" i="40" s="1"/>
  <c r="AB33" i="40"/>
  <c r="D34" i="40"/>
  <c r="V34" i="40"/>
  <c r="AL34" i="40"/>
  <c r="N35" i="40"/>
  <c r="AF35" i="40"/>
  <c r="H36" i="40"/>
  <c r="Z36" i="40"/>
  <c r="AR36" i="40"/>
  <c r="T37" i="40"/>
  <c r="AJ37" i="40"/>
  <c r="L38" i="40"/>
  <c r="AD38" i="40"/>
  <c r="F39" i="40"/>
  <c r="AA44" i="40"/>
  <c r="E44" i="40"/>
  <c r="H23" i="40"/>
  <c r="AR35" i="40"/>
  <c r="J23" i="40"/>
  <c r="Z25" i="40"/>
  <c r="K40" i="40"/>
  <c r="K51" i="40" s="1"/>
  <c r="AL13" i="40"/>
  <c r="AL15" i="40" s="1"/>
  <c r="Z22" i="40"/>
  <c r="AB26" i="40"/>
  <c r="H33" i="40"/>
  <c r="L35" i="40"/>
  <c r="J38" i="40"/>
  <c r="K8" i="40"/>
  <c r="AC8" i="40"/>
  <c r="W9" i="40"/>
  <c r="AO9" i="40"/>
  <c r="P36" i="40"/>
  <c r="P39" i="40"/>
  <c r="AH39" i="40"/>
  <c r="N15" i="40"/>
  <c r="X13" i="40"/>
  <c r="X15" i="40" s="1"/>
  <c r="AF15" i="40"/>
  <c r="AP13" i="40"/>
  <c r="AP15" i="40" s="1"/>
  <c r="H14" i="40"/>
  <c r="T14" i="40"/>
  <c r="T15" i="40" s="1"/>
  <c r="N22" i="40"/>
  <c r="AR22" i="40"/>
  <c r="AR28" i="40" s="1"/>
  <c r="N23" i="40"/>
  <c r="AD23" i="40"/>
  <c r="AR23" i="40"/>
  <c r="AD24" i="40"/>
  <c r="AR24" i="40"/>
  <c r="P25" i="40"/>
  <c r="AD25" i="40"/>
  <c r="P26" i="40"/>
  <c r="AD26" i="40"/>
  <c r="S28" i="40"/>
  <c r="AI28" i="40"/>
  <c r="AI51" i="40" s="1"/>
  <c r="L33" i="40"/>
  <c r="AD33" i="40"/>
  <c r="F34" i="40"/>
  <c r="X34" i="40"/>
  <c r="AP34" i="40"/>
  <c r="P35" i="40"/>
  <c r="AH35" i="40"/>
  <c r="AB36" i="40"/>
  <c r="D37" i="40"/>
  <c r="V37" i="40"/>
  <c r="AL37" i="40"/>
  <c r="N38" i="40"/>
  <c r="AF38" i="40"/>
  <c r="H39" i="40"/>
  <c r="K44" i="40"/>
  <c r="AC44" i="40"/>
  <c r="I44" i="40"/>
  <c r="J37" i="40"/>
  <c r="J33" i="40"/>
  <c r="J34" i="40"/>
  <c r="J39" i="40"/>
  <c r="J35" i="40"/>
  <c r="J36" i="40"/>
  <c r="AC40" i="40"/>
  <c r="AC51" i="40" s="1"/>
  <c r="Y8" i="40"/>
  <c r="AD13" i="40"/>
  <c r="AD15" i="40" s="1"/>
  <c r="F14" i="40"/>
  <c r="F15" i="40" s="1"/>
  <c r="L24" i="40"/>
  <c r="L26" i="40"/>
  <c r="AR33" i="40"/>
  <c r="AR40" i="40" s="1"/>
  <c r="AD35" i="40"/>
  <c r="D39" i="40"/>
  <c r="T39" i="40"/>
  <c r="AJ39" i="40"/>
  <c r="V14" i="40"/>
  <c r="V15" i="40" s="1"/>
  <c r="AR14" i="40"/>
  <c r="P22" i="40"/>
  <c r="AD22" i="40"/>
  <c r="D23" i="40"/>
  <c r="P23" i="40"/>
  <c r="D24" i="40"/>
  <c r="P24" i="40"/>
  <c r="AF24" i="40"/>
  <c r="D25" i="40"/>
  <c r="AF25" i="40"/>
  <c r="D26" i="40"/>
  <c r="T26" i="40"/>
  <c r="AF26" i="40"/>
  <c r="AF28" i="40" s="1"/>
  <c r="N33" i="40"/>
  <c r="AF33" i="40"/>
  <c r="H34" i="40"/>
  <c r="Z34" i="40"/>
  <c r="AR34" i="40"/>
  <c r="T35" i="40"/>
  <c r="AJ35" i="40"/>
  <c r="L36" i="40"/>
  <c r="AD36" i="40"/>
  <c r="F37" i="40"/>
  <c r="X37" i="40"/>
  <c r="AP37" i="40"/>
  <c r="P38" i="40"/>
  <c r="AH38" i="40"/>
  <c r="C40" i="40"/>
  <c r="U40" i="40"/>
  <c r="U51" i="40" s="1"/>
  <c r="AK40" i="40"/>
  <c r="AK51" i="40" s="1"/>
  <c r="M44" i="40"/>
  <c r="AE44" i="40"/>
  <c r="I28" i="40"/>
  <c r="J28" i="40" s="1"/>
  <c r="Z35" i="40"/>
  <c r="I51" i="40"/>
  <c r="Z26" i="40"/>
  <c r="AB35" i="40"/>
  <c r="AR38" i="40"/>
  <c r="G8" i="40"/>
  <c r="AQ8" i="40"/>
  <c r="L23" i="40"/>
  <c r="H13" i="40"/>
  <c r="H15" i="40" s="1"/>
  <c r="P15" i="40"/>
  <c r="Z13" i="40"/>
  <c r="Z15" i="40" s="1"/>
  <c r="AR13" i="40"/>
  <c r="AR15" i="40" s="1"/>
  <c r="J14" i="40"/>
  <c r="J15" i="40" s="1"/>
  <c r="C15" i="40"/>
  <c r="T23" i="40"/>
  <c r="F24" i="40"/>
  <c r="T24" i="40"/>
  <c r="F25" i="40"/>
  <c r="T25" i="40"/>
  <c r="AH25" i="40"/>
  <c r="F26" i="40"/>
  <c r="AH26" i="40"/>
  <c r="W28" i="40"/>
  <c r="P33" i="40"/>
  <c r="AH33" i="40"/>
  <c r="AB34" i="40"/>
  <c r="D35" i="40"/>
  <c r="D40" i="40" s="1"/>
  <c r="V35" i="40"/>
  <c r="AL35" i="40"/>
  <c r="AF36" i="40"/>
  <c r="H37" i="40"/>
  <c r="Z37" i="40"/>
  <c r="AR37" i="40"/>
  <c r="T38" i="40"/>
  <c r="AJ38" i="40"/>
  <c r="E40" i="40"/>
  <c r="E51" i="40" s="1"/>
  <c r="W40" i="40"/>
  <c r="AO40" i="40"/>
  <c r="AO51" i="40" s="1"/>
  <c r="O44" i="40"/>
  <c r="AG44" i="40"/>
  <c r="AJ28" i="40"/>
  <c r="V40" i="40"/>
  <c r="H35" i="40"/>
  <c r="AA51" i="40"/>
  <c r="J22" i="40"/>
  <c r="J24" i="40"/>
  <c r="H38" i="40"/>
  <c r="AB14" i="40"/>
  <c r="AB15" i="40" s="1"/>
  <c r="Z23" i="40"/>
  <c r="L14" i="40"/>
  <c r="AH14" i="40"/>
  <c r="AH15" i="40" s="1"/>
  <c r="F22" i="40"/>
  <c r="V23" i="40"/>
  <c r="V24" i="40"/>
  <c r="H25" i="40"/>
  <c r="V25" i="40"/>
  <c r="H26" i="40"/>
  <c r="AJ26" i="40"/>
  <c r="G28" i="40"/>
  <c r="Y28" i="40"/>
  <c r="T33" i="40"/>
  <c r="AJ33" i="40"/>
  <c r="L34" i="40"/>
  <c r="AD34" i="40"/>
  <c r="F35" i="40"/>
  <c r="X35" i="40"/>
  <c r="AP35" i="40"/>
  <c r="N36" i="40"/>
  <c r="AH36" i="40"/>
  <c r="AB37" i="40"/>
  <c r="D38" i="40"/>
  <c r="V38" i="40"/>
  <c r="AL38" i="40"/>
  <c r="G40" i="40"/>
  <c r="Y40" i="40"/>
  <c r="Y51" i="40" s="1"/>
  <c r="AQ40" i="40"/>
  <c r="AQ51" i="40" s="1"/>
  <c r="S44" i="40"/>
  <c r="AI44" i="40"/>
  <c r="K56" i="40"/>
  <c r="J61" i="40" s="1"/>
  <c r="F40" i="40" l="1"/>
  <c r="AL40" i="40"/>
  <c r="AL51" i="40" s="1"/>
  <c r="AJ40" i="40"/>
  <c r="X40" i="40"/>
  <c r="X51" i="40" s="1"/>
  <c r="AJ51" i="40"/>
  <c r="AH28" i="40"/>
  <c r="V28" i="40"/>
  <c r="T28" i="40"/>
  <c r="N40" i="40"/>
  <c r="J40" i="40"/>
  <c r="C51" i="40"/>
  <c r="D28" i="40"/>
  <c r="D51" i="40" s="1"/>
  <c r="P40" i="40"/>
  <c r="AF40" i="40"/>
  <c r="AF51" i="40" s="1"/>
  <c r="N28" i="40"/>
  <c r="N51" i="40" s="1"/>
  <c r="H40" i="40"/>
  <c r="L15" i="40"/>
  <c r="J51" i="40"/>
  <c r="AD40" i="40"/>
  <c r="Z28" i="40"/>
  <c r="AB40" i="40"/>
  <c r="T40" i="40"/>
  <c r="T51" i="40" s="1"/>
  <c r="W51" i="40"/>
  <c r="L40" i="40"/>
  <c r="L51" i="40" s="1"/>
  <c r="F28" i="40"/>
  <c r="F51" i="40" s="1"/>
  <c r="AD28" i="40"/>
  <c r="AR51" i="40"/>
  <c r="AB28" i="40"/>
  <c r="Z40" i="40"/>
  <c r="H28" i="40"/>
  <c r="G51" i="40"/>
  <c r="P28" i="40"/>
  <c r="V51" i="40"/>
  <c r="AH40" i="40"/>
  <c r="AH51" i="40" l="1"/>
  <c r="P51" i="40"/>
  <c r="AB51" i="40"/>
  <c r="AD51" i="40"/>
  <c r="H51" i="40"/>
  <c r="Z51" i="40"/>
  <c r="V35" i="57" l="1"/>
  <c r="U35" i="57"/>
  <c r="T35" i="57"/>
  <c r="S35" i="57"/>
  <c r="R35" i="57"/>
  <c r="Q35" i="57"/>
  <c r="P35" i="57"/>
  <c r="O35" i="57"/>
  <c r="N35" i="57"/>
  <c r="M35" i="57"/>
  <c r="L35" i="57"/>
  <c r="K35" i="57"/>
  <c r="J35" i="57"/>
  <c r="I35" i="57"/>
  <c r="G35" i="57"/>
  <c r="F35" i="57"/>
  <c r="D35" i="57"/>
  <c r="C35" i="57"/>
  <c r="B35" i="57"/>
  <c r="W34" i="57"/>
  <c r="E34" i="57"/>
  <c r="W33" i="57"/>
  <c r="E33" i="57"/>
  <c r="W32" i="57"/>
  <c r="E32" i="57"/>
  <c r="W31" i="57"/>
  <c r="E31" i="57"/>
  <c r="W30" i="57"/>
  <c r="E30" i="57"/>
  <c r="W29" i="57"/>
  <c r="E29" i="57"/>
  <c r="W28" i="57"/>
  <c r="E28" i="57"/>
  <c r="W27" i="57"/>
  <c r="E27" i="57"/>
  <c r="W26" i="57"/>
  <c r="E26" i="57"/>
  <c r="W25" i="57"/>
  <c r="E25" i="57"/>
  <c r="W24" i="57"/>
  <c r="E24" i="57"/>
  <c r="W23" i="57"/>
  <c r="E23" i="57"/>
  <c r="W22" i="57"/>
  <c r="E22" i="57"/>
  <c r="W21" i="57"/>
  <c r="E21" i="57"/>
  <c r="W20" i="57"/>
  <c r="E20" i="57"/>
  <c r="W19" i="57"/>
  <c r="E19" i="57"/>
  <c r="W18" i="57"/>
  <c r="E18" i="57"/>
  <c r="W17" i="57"/>
  <c r="E17" i="57"/>
  <c r="W16" i="57"/>
  <c r="E16" i="57"/>
  <c r="W15" i="57"/>
  <c r="E15" i="57"/>
  <c r="W14" i="57"/>
  <c r="E14" i="57"/>
  <c r="W13" i="57"/>
  <c r="E13" i="57"/>
  <c r="W12" i="57"/>
  <c r="E12" i="57"/>
  <c r="W11" i="57"/>
  <c r="E11" i="57"/>
  <c r="W10" i="57"/>
  <c r="E10" i="57"/>
  <c r="W9" i="57"/>
  <c r="E9" i="57"/>
  <c r="W8" i="57"/>
  <c r="E8" i="57"/>
  <c r="W7" i="57"/>
  <c r="E7" i="57"/>
  <c r="W6" i="57"/>
  <c r="E6" i="57"/>
  <c r="W5" i="57"/>
  <c r="H5" i="57"/>
  <c r="H6" i="57" s="1"/>
  <c r="H7" i="57" s="1"/>
  <c r="H8" i="57" s="1"/>
  <c r="H9" i="57" s="1"/>
  <c r="H10" i="57" s="1"/>
  <c r="H11" i="57" s="1"/>
  <c r="H12" i="57" s="1"/>
  <c r="H13" i="57" s="1"/>
  <c r="H14" i="57" s="1"/>
  <c r="H15" i="57" s="1"/>
  <c r="H16" i="57" s="1"/>
  <c r="H17" i="57" s="1"/>
  <c r="H18" i="57" s="1"/>
  <c r="H19" i="57" s="1"/>
  <c r="H20" i="57" s="1"/>
  <c r="H21" i="57" s="1"/>
  <c r="H22" i="57" s="1"/>
  <c r="H23" i="57" s="1"/>
  <c r="H24" i="57" s="1"/>
  <c r="H25" i="57" s="1"/>
  <c r="H26" i="57" s="1"/>
  <c r="H27" i="57" s="1"/>
  <c r="H28" i="57" s="1"/>
  <c r="H29" i="57" s="1"/>
  <c r="H30" i="57" s="1"/>
  <c r="H31" i="57" s="1"/>
  <c r="H32" i="57" s="1"/>
  <c r="H33" i="57" s="1"/>
  <c r="H34" i="57" s="1"/>
  <c r="H35" i="57" s="1"/>
  <c r="E5" i="57"/>
  <c r="W4" i="57"/>
  <c r="W35" i="57" s="1"/>
  <c r="H4" i="57"/>
  <c r="E4" i="57"/>
  <c r="E35" i="57" s="1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G35" i="56"/>
  <c r="F35" i="56"/>
  <c r="D35" i="56"/>
  <c r="C35" i="56"/>
  <c r="B35" i="56"/>
  <c r="W34" i="56"/>
  <c r="E34" i="56"/>
  <c r="W33" i="56"/>
  <c r="E33" i="56"/>
  <c r="W32" i="56"/>
  <c r="E32" i="56"/>
  <c r="W31" i="56"/>
  <c r="E31" i="56"/>
  <c r="W30" i="56"/>
  <c r="E30" i="56"/>
  <c r="W29" i="56"/>
  <c r="E29" i="56"/>
  <c r="W28" i="56"/>
  <c r="E28" i="56"/>
  <c r="W27" i="56"/>
  <c r="E27" i="56"/>
  <c r="W26" i="56"/>
  <c r="E26" i="56"/>
  <c r="W25" i="56"/>
  <c r="E25" i="56"/>
  <c r="W24" i="56"/>
  <c r="E24" i="56"/>
  <c r="W23" i="56"/>
  <c r="E23" i="56"/>
  <c r="W22" i="56"/>
  <c r="E22" i="56"/>
  <c r="W21" i="56"/>
  <c r="E21" i="56"/>
  <c r="W20" i="56"/>
  <c r="E20" i="56"/>
  <c r="W19" i="56"/>
  <c r="E19" i="56"/>
  <c r="W18" i="56"/>
  <c r="E18" i="56"/>
  <c r="W17" i="56"/>
  <c r="E17" i="56"/>
  <c r="W16" i="56"/>
  <c r="E16" i="56"/>
  <c r="W15" i="56"/>
  <c r="E15" i="56"/>
  <c r="W14" i="56"/>
  <c r="E14" i="56"/>
  <c r="W13" i="56"/>
  <c r="E13" i="56"/>
  <c r="W12" i="56"/>
  <c r="E12" i="56"/>
  <c r="W11" i="56"/>
  <c r="E11" i="56"/>
  <c r="W10" i="56"/>
  <c r="E10" i="56"/>
  <c r="W9" i="56"/>
  <c r="E9" i="56"/>
  <c r="W8" i="56"/>
  <c r="E8" i="56"/>
  <c r="W7" i="56"/>
  <c r="E7" i="56"/>
  <c r="W6" i="56"/>
  <c r="E6" i="56"/>
  <c r="W5" i="56"/>
  <c r="E5" i="56"/>
  <c r="W4" i="56"/>
  <c r="W35" i="56" s="1"/>
  <c r="H4" i="56"/>
  <c r="H5" i="56" s="1"/>
  <c r="H6" i="56" s="1"/>
  <c r="H7" i="56" s="1"/>
  <c r="H8" i="56" s="1"/>
  <c r="H9" i="56" s="1"/>
  <c r="H10" i="56" s="1"/>
  <c r="H11" i="56" s="1"/>
  <c r="H12" i="56" s="1"/>
  <c r="H13" i="56" s="1"/>
  <c r="H14" i="56" s="1"/>
  <c r="H15" i="56" s="1"/>
  <c r="H16" i="56" s="1"/>
  <c r="H17" i="56" s="1"/>
  <c r="H18" i="56" s="1"/>
  <c r="H19" i="56" s="1"/>
  <c r="H20" i="56" s="1"/>
  <c r="H21" i="56" s="1"/>
  <c r="H22" i="56" s="1"/>
  <c r="H23" i="56" s="1"/>
  <c r="H24" i="56" s="1"/>
  <c r="H25" i="56" s="1"/>
  <c r="H26" i="56" s="1"/>
  <c r="H27" i="56" s="1"/>
  <c r="H28" i="56" s="1"/>
  <c r="H29" i="56" s="1"/>
  <c r="H30" i="56" s="1"/>
  <c r="H31" i="56" s="1"/>
  <c r="H32" i="56" s="1"/>
  <c r="H33" i="56" s="1"/>
  <c r="H34" i="56" s="1"/>
  <c r="H35" i="56" s="1"/>
  <c r="E4" i="56"/>
  <c r="E35" i="56" s="1"/>
  <c r="V35" i="54"/>
  <c r="U35" i="54"/>
  <c r="T35" i="54"/>
  <c r="S35" i="54"/>
  <c r="R35" i="54"/>
  <c r="Q35" i="54"/>
  <c r="P35" i="54"/>
  <c r="O35" i="54"/>
  <c r="N35" i="54"/>
  <c r="M35" i="54"/>
  <c r="L35" i="54"/>
  <c r="K35" i="54"/>
  <c r="J35" i="54"/>
  <c r="I35" i="54"/>
  <c r="G35" i="54"/>
  <c r="F35" i="54"/>
  <c r="D35" i="54"/>
  <c r="C35" i="54"/>
  <c r="B35" i="54"/>
  <c r="W34" i="54"/>
  <c r="E34" i="54"/>
  <c r="W33" i="54"/>
  <c r="E33" i="54"/>
  <c r="W32" i="54"/>
  <c r="E32" i="54"/>
  <c r="W31" i="54"/>
  <c r="E31" i="54"/>
  <c r="W30" i="54"/>
  <c r="E30" i="54"/>
  <c r="W29" i="54"/>
  <c r="E29" i="54"/>
  <c r="W28" i="54"/>
  <c r="E28" i="54"/>
  <c r="W27" i="54"/>
  <c r="E27" i="54"/>
  <c r="W26" i="54"/>
  <c r="E26" i="54"/>
  <c r="W25" i="54"/>
  <c r="E25" i="54"/>
  <c r="W24" i="54"/>
  <c r="E24" i="54"/>
  <c r="W23" i="54"/>
  <c r="E23" i="54"/>
  <c r="W22" i="54"/>
  <c r="E22" i="54"/>
  <c r="W21" i="54"/>
  <c r="E21" i="54"/>
  <c r="W20" i="54"/>
  <c r="E20" i="54"/>
  <c r="W19" i="54"/>
  <c r="E19" i="54"/>
  <c r="W18" i="54"/>
  <c r="E18" i="54"/>
  <c r="W17" i="54"/>
  <c r="E17" i="54"/>
  <c r="W16" i="54"/>
  <c r="E16" i="54"/>
  <c r="W15" i="54"/>
  <c r="E15" i="54"/>
  <c r="W14" i="54"/>
  <c r="E14" i="54"/>
  <c r="W13" i="54"/>
  <c r="E13" i="54"/>
  <c r="W12" i="54"/>
  <c r="E12" i="54"/>
  <c r="W11" i="54"/>
  <c r="E11" i="54"/>
  <c r="W10" i="54"/>
  <c r="E10" i="54"/>
  <c r="W9" i="54"/>
  <c r="E9" i="54"/>
  <c r="W8" i="54"/>
  <c r="E8" i="54"/>
  <c r="W7" i="54"/>
  <c r="E7" i="54"/>
  <c r="W6" i="54"/>
  <c r="E6" i="54"/>
  <c r="W5" i="54"/>
  <c r="E5" i="54"/>
  <c r="W4" i="54"/>
  <c r="W35" i="54" s="1"/>
  <c r="H4" i="54"/>
  <c r="H5" i="54" s="1"/>
  <c r="H6" i="54" s="1"/>
  <c r="H7" i="54" s="1"/>
  <c r="H8" i="54" s="1"/>
  <c r="H9" i="54" s="1"/>
  <c r="H10" i="54" s="1"/>
  <c r="H11" i="54" s="1"/>
  <c r="H12" i="54" s="1"/>
  <c r="H13" i="54" s="1"/>
  <c r="H14" i="54" s="1"/>
  <c r="H15" i="54" s="1"/>
  <c r="H16" i="54" s="1"/>
  <c r="H17" i="54" s="1"/>
  <c r="H18" i="54" s="1"/>
  <c r="H19" i="54" s="1"/>
  <c r="H20" i="54" s="1"/>
  <c r="H21" i="54" s="1"/>
  <c r="H22" i="54" s="1"/>
  <c r="H23" i="54" s="1"/>
  <c r="H24" i="54" s="1"/>
  <c r="H25" i="54" s="1"/>
  <c r="H26" i="54" s="1"/>
  <c r="H27" i="54" s="1"/>
  <c r="H28" i="54" s="1"/>
  <c r="H29" i="54" s="1"/>
  <c r="H30" i="54" s="1"/>
  <c r="H31" i="54" s="1"/>
  <c r="H32" i="54" s="1"/>
  <c r="H33" i="54" s="1"/>
  <c r="H34" i="54" s="1"/>
  <c r="H35" i="54" s="1"/>
  <c r="E4" i="54"/>
  <c r="E35" i="54" s="1"/>
  <c r="V35" i="53"/>
  <c r="U35" i="53"/>
  <c r="T35" i="53"/>
  <c r="S35" i="53"/>
  <c r="R35" i="53"/>
  <c r="Q35" i="53"/>
  <c r="P35" i="53"/>
  <c r="O35" i="53"/>
  <c r="N35" i="53"/>
  <c r="M35" i="53"/>
  <c r="L35" i="53"/>
  <c r="K35" i="53"/>
  <c r="J35" i="53"/>
  <c r="I35" i="53"/>
  <c r="G35" i="53"/>
  <c r="F35" i="53"/>
  <c r="D35" i="53"/>
  <c r="C35" i="53"/>
  <c r="B35" i="53"/>
  <c r="W34" i="53"/>
  <c r="E34" i="53"/>
  <c r="W33" i="53"/>
  <c r="E33" i="53"/>
  <c r="W32" i="53"/>
  <c r="E32" i="53"/>
  <c r="W31" i="53"/>
  <c r="E31" i="53"/>
  <c r="W30" i="53"/>
  <c r="E30" i="53"/>
  <c r="W29" i="53"/>
  <c r="E29" i="53"/>
  <c r="W28" i="53"/>
  <c r="E28" i="53"/>
  <c r="W27" i="53"/>
  <c r="E27" i="53"/>
  <c r="W26" i="53"/>
  <c r="E26" i="53"/>
  <c r="W25" i="53"/>
  <c r="E25" i="53"/>
  <c r="W24" i="53"/>
  <c r="E24" i="53"/>
  <c r="W23" i="53"/>
  <c r="E23" i="53"/>
  <c r="W22" i="53"/>
  <c r="E22" i="53"/>
  <c r="W21" i="53"/>
  <c r="E21" i="53"/>
  <c r="W20" i="53"/>
  <c r="E20" i="53"/>
  <c r="W19" i="53"/>
  <c r="E19" i="53"/>
  <c r="W18" i="53"/>
  <c r="E18" i="53"/>
  <c r="W17" i="53"/>
  <c r="E17" i="53"/>
  <c r="W16" i="53"/>
  <c r="E16" i="53"/>
  <c r="W15" i="53"/>
  <c r="E15" i="53"/>
  <c r="W14" i="53"/>
  <c r="E14" i="53"/>
  <c r="W13" i="53"/>
  <c r="E13" i="53"/>
  <c r="W12" i="53"/>
  <c r="E12" i="53"/>
  <c r="W11" i="53"/>
  <c r="E11" i="53"/>
  <c r="W10" i="53"/>
  <c r="E10" i="53"/>
  <c r="W9" i="53"/>
  <c r="E9" i="53"/>
  <c r="W8" i="53"/>
  <c r="E8" i="53"/>
  <c r="W7" i="53"/>
  <c r="E7" i="53"/>
  <c r="W6" i="53"/>
  <c r="E6" i="53"/>
  <c r="W5" i="53"/>
  <c r="E5" i="53"/>
  <c r="W4" i="53"/>
  <c r="W35" i="53" s="1"/>
  <c r="H4" i="53"/>
  <c r="H5" i="53" s="1"/>
  <c r="H6" i="53" s="1"/>
  <c r="H7" i="53" s="1"/>
  <c r="H8" i="53" s="1"/>
  <c r="H9" i="53" s="1"/>
  <c r="H10" i="53" s="1"/>
  <c r="H11" i="53" s="1"/>
  <c r="H12" i="53" s="1"/>
  <c r="H13" i="53" s="1"/>
  <c r="H14" i="53" s="1"/>
  <c r="H15" i="53" s="1"/>
  <c r="H16" i="53" s="1"/>
  <c r="H17" i="53" s="1"/>
  <c r="H18" i="53" s="1"/>
  <c r="H19" i="53" s="1"/>
  <c r="H20" i="53" s="1"/>
  <c r="H21" i="53" s="1"/>
  <c r="H22" i="53" s="1"/>
  <c r="H23" i="53" s="1"/>
  <c r="H24" i="53" s="1"/>
  <c r="H25" i="53" s="1"/>
  <c r="H26" i="53" s="1"/>
  <c r="H27" i="53" s="1"/>
  <c r="H28" i="53" s="1"/>
  <c r="H29" i="53" s="1"/>
  <c r="H30" i="53" s="1"/>
  <c r="H31" i="53" s="1"/>
  <c r="H32" i="53" s="1"/>
  <c r="H33" i="53" s="1"/>
  <c r="H34" i="53" s="1"/>
  <c r="H35" i="53" s="1"/>
  <c r="E4" i="53"/>
  <c r="E35" i="53" s="1"/>
  <c r="V35" i="52"/>
  <c r="U35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G35" i="52"/>
  <c r="F35" i="52"/>
  <c r="D35" i="52"/>
  <c r="C35" i="52"/>
  <c r="B35" i="52"/>
  <c r="W34" i="52"/>
  <c r="E34" i="52"/>
  <c r="W33" i="52"/>
  <c r="E33" i="52"/>
  <c r="W32" i="52"/>
  <c r="E32" i="52"/>
  <c r="W31" i="52"/>
  <c r="E31" i="52"/>
  <c r="W30" i="52"/>
  <c r="E30" i="52"/>
  <c r="W29" i="52"/>
  <c r="E29" i="52"/>
  <c r="W28" i="52"/>
  <c r="E28" i="52"/>
  <c r="W27" i="52"/>
  <c r="E27" i="52"/>
  <c r="W26" i="52"/>
  <c r="E26" i="52"/>
  <c r="W25" i="52"/>
  <c r="E25" i="52"/>
  <c r="W24" i="52"/>
  <c r="E24" i="52"/>
  <c r="W23" i="52"/>
  <c r="E23" i="52"/>
  <c r="W22" i="52"/>
  <c r="E22" i="52"/>
  <c r="W21" i="52"/>
  <c r="E21" i="52"/>
  <c r="W20" i="52"/>
  <c r="E20" i="52"/>
  <c r="W19" i="52"/>
  <c r="E19" i="52"/>
  <c r="W18" i="52"/>
  <c r="E18" i="52"/>
  <c r="W17" i="52"/>
  <c r="E17" i="52"/>
  <c r="W16" i="52"/>
  <c r="E16" i="52"/>
  <c r="W15" i="52"/>
  <c r="E15" i="52"/>
  <c r="W14" i="52"/>
  <c r="E14" i="52"/>
  <c r="W13" i="52"/>
  <c r="E13" i="52"/>
  <c r="W12" i="52"/>
  <c r="E12" i="52"/>
  <c r="W11" i="52"/>
  <c r="E11" i="52"/>
  <c r="W10" i="52"/>
  <c r="E10" i="52"/>
  <c r="W9" i="52"/>
  <c r="E9" i="52"/>
  <c r="W8" i="52"/>
  <c r="E8" i="52"/>
  <c r="W7" i="52"/>
  <c r="E7" i="52"/>
  <c r="W6" i="52"/>
  <c r="E6" i="52"/>
  <c r="W5" i="52"/>
  <c r="H5" i="52"/>
  <c r="H6" i="52" s="1"/>
  <c r="H7" i="52" s="1"/>
  <c r="H8" i="52" s="1"/>
  <c r="H9" i="52" s="1"/>
  <c r="H10" i="52" s="1"/>
  <c r="H11" i="52" s="1"/>
  <c r="H12" i="52" s="1"/>
  <c r="H13" i="52" s="1"/>
  <c r="H14" i="52" s="1"/>
  <c r="H15" i="52" s="1"/>
  <c r="H16" i="52" s="1"/>
  <c r="H17" i="52" s="1"/>
  <c r="H18" i="52" s="1"/>
  <c r="H19" i="52" s="1"/>
  <c r="H20" i="52" s="1"/>
  <c r="H21" i="52" s="1"/>
  <c r="H22" i="52" s="1"/>
  <c r="H23" i="52" s="1"/>
  <c r="H24" i="52" s="1"/>
  <c r="H25" i="52" s="1"/>
  <c r="H26" i="52" s="1"/>
  <c r="H27" i="52" s="1"/>
  <c r="H28" i="52" s="1"/>
  <c r="H29" i="52" s="1"/>
  <c r="H30" i="52" s="1"/>
  <c r="H31" i="52" s="1"/>
  <c r="H32" i="52" s="1"/>
  <c r="H33" i="52" s="1"/>
  <c r="H34" i="52" s="1"/>
  <c r="H35" i="52" s="1"/>
  <c r="E5" i="52"/>
  <c r="W4" i="52"/>
  <c r="W35" i="52" s="1"/>
  <c r="H4" i="52"/>
  <c r="E4" i="52"/>
  <c r="E35" i="52" s="1"/>
  <c r="V35" i="51"/>
  <c r="U35" i="51"/>
  <c r="T35" i="51"/>
  <c r="S35" i="51"/>
  <c r="R35" i="51"/>
  <c r="Q35" i="51"/>
  <c r="P35" i="51"/>
  <c r="O35" i="51"/>
  <c r="N35" i="51"/>
  <c r="M35" i="51"/>
  <c r="L35" i="51"/>
  <c r="K35" i="51"/>
  <c r="J35" i="51"/>
  <c r="I35" i="51"/>
  <c r="G35" i="51"/>
  <c r="F35" i="51"/>
  <c r="D35" i="51"/>
  <c r="C35" i="51"/>
  <c r="B35" i="51"/>
  <c r="W34" i="51"/>
  <c r="E34" i="51"/>
  <c r="W33" i="51"/>
  <c r="E33" i="51"/>
  <c r="W32" i="51"/>
  <c r="E32" i="51"/>
  <c r="W31" i="51"/>
  <c r="E31" i="51"/>
  <c r="W30" i="51"/>
  <c r="E30" i="51"/>
  <c r="W29" i="51"/>
  <c r="E29" i="51"/>
  <c r="W28" i="51"/>
  <c r="E28" i="51"/>
  <c r="W27" i="51"/>
  <c r="E27" i="51"/>
  <c r="W26" i="51"/>
  <c r="E26" i="51"/>
  <c r="W25" i="51"/>
  <c r="E25" i="51"/>
  <c r="W24" i="51"/>
  <c r="E24" i="51"/>
  <c r="W23" i="51"/>
  <c r="E23" i="51"/>
  <c r="W22" i="51"/>
  <c r="E22" i="51"/>
  <c r="W21" i="51"/>
  <c r="E21" i="51"/>
  <c r="W20" i="51"/>
  <c r="E20" i="51"/>
  <c r="W19" i="51"/>
  <c r="E19" i="51"/>
  <c r="W18" i="51"/>
  <c r="E18" i="51"/>
  <c r="W17" i="51"/>
  <c r="E17" i="51"/>
  <c r="W16" i="51"/>
  <c r="E16" i="51"/>
  <c r="W15" i="51"/>
  <c r="E15" i="51"/>
  <c r="W14" i="51"/>
  <c r="E14" i="51"/>
  <c r="W13" i="51"/>
  <c r="E13" i="51"/>
  <c r="W12" i="51"/>
  <c r="E12" i="51"/>
  <c r="W11" i="51"/>
  <c r="E11" i="51"/>
  <c r="W10" i="51"/>
  <c r="E10" i="51"/>
  <c r="W9" i="51"/>
  <c r="E9" i="51"/>
  <c r="W8" i="51"/>
  <c r="E8" i="51"/>
  <c r="W7" i="51"/>
  <c r="E7" i="51"/>
  <c r="W6" i="51"/>
  <c r="E6" i="51"/>
  <c r="W5" i="51"/>
  <c r="H5" i="51"/>
  <c r="H6" i="51" s="1"/>
  <c r="H7" i="51" s="1"/>
  <c r="H8" i="51" s="1"/>
  <c r="H9" i="51" s="1"/>
  <c r="H10" i="51" s="1"/>
  <c r="H11" i="51" s="1"/>
  <c r="H12" i="51" s="1"/>
  <c r="H13" i="51" s="1"/>
  <c r="H14" i="51" s="1"/>
  <c r="H15" i="51" s="1"/>
  <c r="H16" i="51" s="1"/>
  <c r="H17" i="51" s="1"/>
  <c r="H18" i="51" s="1"/>
  <c r="H19" i="51" s="1"/>
  <c r="H20" i="51" s="1"/>
  <c r="H21" i="51" s="1"/>
  <c r="H22" i="51" s="1"/>
  <c r="H23" i="51" s="1"/>
  <c r="H24" i="51" s="1"/>
  <c r="H25" i="51" s="1"/>
  <c r="H26" i="51" s="1"/>
  <c r="H27" i="51" s="1"/>
  <c r="H28" i="51" s="1"/>
  <c r="H29" i="51" s="1"/>
  <c r="H30" i="51" s="1"/>
  <c r="H31" i="51" s="1"/>
  <c r="H32" i="51" s="1"/>
  <c r="H33" i="51" s="1"/>
  <c r="H34" i="51" s="1"/>
  <c r="H35" i="51" s="1"/>
  <c r="E5" i="51"/>
  <c r="W4" i="51"/>
  <c r="W35" i="51" s="1"/>
  <c r="H4" i="51"/>
  <c r="E4" i="51"/>
  <c r="E35" i="51" s="1"/>
  <c r="V35" i="50"/>
  <c r="U35" i="50"/>
  <c r="T35" i="50"/>
  <c r="S35" i="50"/>
  <c r="R35" i="50"/>
  <c r="Q35" i="50"/>
  <c r="P35" i="50"/>
  <c r="O35" i="50"/>
  <c r="N35" i="50"/>
  <c r="M35" i="50"/>
  <c r="L35" i="50"/>
  <c r="K35" i="50"/>
  <c r="J35" i="50"/>
  <c r="I35" i="50"/>
  <c r="G35" i="50"/>
  <c r="F35" i="50"/>
  <c r="D35" i="50"/>
  <c r="C35" i="50"/>
  <c r="B35" i="50"/>
  <c r="W34" i="50"/>
  <c r="E34" i="50"/>
  <c r="W33" i="50"/>
  <c r="E33" i="50"/>
  <c r="W32" i="50"/>
  <c r="E32" i="50"/>
  <c r="W31" i="50"/>
  <c r="E31" i="50"/>
  <c r="W30" i="50"/>
  <c r="E30" i="50"/>
  <c r="W29" i="50"/>
  <c r="E29" i="50"/>
  <c r="W28" i="50"/>
  <c r="E28" i="50"/>
  <c r="W27" i="50"/>
  <c r="E27" i="50"/>
  <c r="W26" i="50"/>
  <c r="E26" i="50"/>
  <c r="W25" i="50"/>
  <c r="E25" i="50"/>
  <c r="W24" i="50"/>
  <c r="E24" i="50"/>
  <c r="W23" i="50"/>
  <c r="E23" i="50"/>
  <c r="W22" i="50"/>
  <c r="E22" i="50"/>
  <c r="W21" i="50"/>
  <c r="E21" i="50"/>
  <c r="W20" i="50"/>
  <c r="E20" i="50"/>
  <c r="W19" i="50"/>
  <c r="E19" i="50"/>
  <c r="W18" i="50"/>
  <c r="E18" i="50"/>
  <c r="W17" i="50"/>
  <c r="E17" i="50"/>
  <c r="W16" i="50"/>
  <c r="E16" i="50"/>
  <c r="W15" i="50"/>
  <c r="E15" i="50"/>
  <c r="W14" i="50"/>
  <c r="E14" i="50"/>
  <c r="W13" i="50"/>
  <c r="E13" i="50"/>
  <c r="W12" i="50"/>
  <c r="E12" i="50"/>
  <c r="W11" i="50"/>
  <c r="E11" i="50"/>
  <c r="W10" i="50"/>
  <c r="E10" i="50"/>
  <c r="W9" i="50"/>
  <c r="E9" i="50"/>
  <c r="W8" i="50"/>
  <c r="E8" i="50"/>
  <c r="W7" i="50"/>
  <c r="E7" i="50"/>
  <c r="W6" i="50"/>
  <c r="E6" i="50"/>
  <c r="W5" i="50"/>
  <c r="H5" i="50"/>
  <c r="H6" i="50" s="1"/>
  <c r="H7" i="50" s="1"/>
  <c r="H8" i="50" s="1"/>
  <c r="H9" i="50" s="1"/>
  <c r="H10" i="50" s="1"/>
  <c r="H11" i="50" s="1"/>
  <c r="H12" i="50" s="1"/>
  <c r="H13" i="50" s="1"/>
  <c r="H14" i="50" s="1"/>
  <c r="H15" i="50" s="1"/>
  <c r="H16" i="50" s="1"/>
  <c r="H17" i="50" s="1"/>
  <c r="H18" i="50" s="1"/>
  <c r="H19" i="50" s="1"/>
  <c r="H20" i="50" s="1"/>
  <c r="H21" i="50" s="1"/>
  <c r="H22" i="50" s="1"/>
  <c r="H23" i="50" s="1"/>
  <c r="H24" i="50" s="1"/>
  <c r="H25" i="50" s="1"/>
  <c r="H26" i="50" s="1"/>
  <c r="H27" i="50" s="1"/>
  <c r="H28" i="50" s="1"/>
  <c r="H29" i="50" s="1"/>
  <c r="H30" i="50" s="1"/>
  <c r="H31" i="50" s="1"/>
  <c r="H32" i="50" s="1"/>
  <c r="H33" i="50" s="1"/>
  <c r="H34" i="50" s="1"/>
  <c r="H35" i="50" s="1"/>
  <c r="E5" i="50"/>
  <c r="W4" i="50"/>
  <c r="W35" i="50" s="1"/>
  <c r="H4" i="50"/>
  <c r="E4" i="50"/>
  <c r="E35" i="50" s="1"/>
  <c r="V35" i="49"/>
  <c r="U35" i="49"/>
  <c r="T35" i="49"/>
  <c r="S35" i="49"/>
  <c r="R35" i="49"/>
  <c r="Q35" i="49"/>
  <c r="P35" i="49"/>
  <c r="O35" i="49"/>
  <c r="N35" i="49"/>
  <c r="M35" i="49"/>
  <c r="L35" i="49"/>
  <c r="K35" i="49"/>
  <c r="J35" i="49"/>
  <c r="I35" i="49"/>
  <c r="G35" i="49"/>
  <c r="F35" i="49"/>
  <c r="D35" i="49"/>
  <c r="C35" i="49"/>
  <c r="B35" i="49"/>
  <c r="W34" i="49"/>
  <c r="E34" i="49"/>
  <c r="W33" i="49"/>
  <c r="E33" i="49"/>
  <c r="W32" i="49"/>
  <c r="E32" i="49"/>
  <c r="W31" i="49"/>
  <c r="E31" i="49"/>
  <c r="W30" i="49"/>
  <c r="E30" i="49"/>
  <c r="W29" i="49"/>
  <c r="E29" i="49"/>
  <c r="W28" i="49"/>
  <c r="E28" i="49"/>
  <c r="W27" i="49"/>
  <c r="E27" i="49"/>
  <c r="W26" i="49"/>
  <c r="E26" i="49"/>
  <c r="W25" i="49"/>
  <c r="E25" i="49"/>
  <c r="W24" i="49"/>
  <c r="E24" i="49"/>
  <c r="W23" i="49"/>
  <c r="E23" i="49"/>
  <c r="W22" i="49"/>
  <c r="E22" i="49"/>
  <c r="W21" i="49"/>
  <c r="E21" i="49"/>
  <c r="W20" i="49"/>
  <c r="E20" i="49"/>
  <c r="W19" i="49"/>
  <c r="E19" i="49"/>
  <c r="W18" i="49"/>
  <c r="E18" i="49"/>
  <c r="W17" i="49"/>
  <c r="E17" i="49"/>
  <c r="W16" i="49"/>
  <c r="E16" i="49"/>
  <c r="W15" i="49"/>
  <c r="E15" i="49"/>
  <c r="W14" i="49"/>
  <c r="E14" i="49"/>
  <c r="W13" i="49"/>
  <c r="E13" i="49"/>
  <c r="W12" i="49"/>
  <c r="E12" i="49"/>
  <c r="W11" i="49"/>
  <c r="E11" i="49"/>
  <c r="W10" i="49"/>
  <c r="E10" i="49"/>
  <c r="W9" i="49"/>
  <c r="E9" i="49"/>
  <c r="W8" i="49"/>
  <c r="E8" i="49"/>
  <c r="W7" i="49"/>
  <c r="E7" i="49"/>
  <c r="W6" i="49"/>
  <c r="H6" i="49"/>
  <c r="H7" i="49" s="1"/>
  <c r="H8" i="49" s="1"/>
  <c r="H9" i="49" s="1"/>
  <c r="H10" i="49" s="1"/>
  <c r="H11" i="49" s="1"/>
  <c r="H12" i="49" s="1"/>
  <c r="H13" i="49" s="1"/>
  <c r="H14" i="49" s="1"/>
  <c r="H15" i="49" s="1"/>
  <c r="H16" i="49" s="1"/>
  <c r="H17" i="49" s="1"/>
  <c r="H18" i="49" s="1"/>
  <c r="H19" i="49" s="1"/>
  <c r="H20" i="49" s="1"/>
  <c r="H21" i="49" s="1"/>
  <c r="H22" i="49" s="1"/>
  <c r="H23" i="49" s="1"/>
  <c r="H24" i="49" s="1"/>
  <c r="H25" i="49" s="1"/>
  <c r="H26" i="49" s="1"/>
  <c r="H27" i="49" s="1"/>
  <c r="H28" i="49" s="1"/>
  <c r="H29" i="49" s="1"/>
  <c r="H30" i="49" s="1"/>
  <c r="H31" i="49" s="1"/>
  <c r="H32" i="49" s="1"/>
  <c r="H33" i="49" s="1"/>
  <c r="H34" i="49" s="1"/>
  <c r="H35" i="49" s="1"/>
  <c r="E6" i="49"/>
  <c r="W5" i="49"/>
  <c r="H5" i="49"/>
  <c r="E5" i="49"/>
  <c r="W4" i="49"/>
  <c r="W35" i="49" s="1"/>
  <c r="H4" i="49"/>
  <c r="E4" i="49"/>
  <c r="E35" i="49" s="1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G35" i="48"/>
  <c r="F35" i="48"/>
  <c r="D35" i="48"/>
  <c r="C35" i="48"/>
  <c r="B35" i="48"/>
  <c r="W34" i="48"/>
  <c r="E34" i="48"/>
  <c r="W33" i="48"/>
  <c r="E33" i="48"/>
  <c r="W32" i="48"/>
  <c r="E32" i="48"/>
  <c r="W31" i="48"/>
  <c r="E31" i="48"/>
  <c r="W30" i="48"/>
  <c r="E30" i="48"/>
  <c r="W29" i="48"/>
  <c r="E29" i="48"/>
  <c r="W28" i="48"/>
  <c r="E28" i="48"/>
  <c r="W27" i="48"/>
  <c r="E27" i="48"/>
  <c r="W26" i="48"/>
  <c r="E26" i="48"/>
  <c r="W25" i="48"/>
  <c r="E25" i="48"/>
  <c r="W24" i="48"/>
  <c r="E24" i="48"/>
  <c r="W23" i="48"/>
  <c r="E23" i="48"/>
  <c r="W22" i="48"/>
  <c r="E22" i="48"/>
  <c r="W21" i="48"/>
  <c r="E21" i="48"/>
  <c r="W20" i="48"/>
  <c r="E20" i="48"/>
  <c r="W19" i="48"/>
  <c r="E19" i="48"/>
  <c r="W18" i="48"/>
  <c r="E18" i="48"/>
  <c r="W17" i="48"/>
  <c r="E17" i="48"/>
  <c r="W16" i="48"/>
  <c r="E16" i="48"/>
  <c r="W15" i="48"/>
  <c r="E15" i="48"/>
  <c r="W14" i="48"/>
  <c r="E14" i="48"/>
  <c r="W13" i="48"/>
  <c r="E13" i="48"/>
  <c r="W12" i="48"/>
  <c r="E12" i="48"/>
  <c r="W11" i="48"/>
  <c r="E11" i="48"/>
  <c r="W10" i="48"/>
  <c r="E10" i="48"/>
  <c r="W9" i="48"/>
  <c r="E9" i="48"/>
  <c r="W8" i="48"/>
  <c r="E8" i="48"/>
  <c r="W7" i="48"/>
  <c r="E7" i="48"/>
  <c r="W6" i="48"/>
  <c r="E6" i="48"/>
  <c r="W5" i="48"/>
  <c r="E5" i="48"/>
  <c r="W4" i="48"/>
  <c r="W35" i="48" s="1"/>
  <c r="H4" i="48"/>
  <c r="H5" i="48" s="1"/>
  <c r="H6" i="48" s="1"/>
  <c r="H7" i="48" s="1"/>
  <c r="H8" i="48" s="1"/>
  <c r="H9" i="48" s="1"/>
  <c r="H10" i="48" s="1"/>
  <c r="H11" i="48" s="1"/>
  <c r="H12" i="48" s="1"/>
  <c r="H13" i="48" s="1"/>
  <c r="H14" i="48" s="1"/>
  <c r="H15" i="48" s="1"/>
  <c r="H16" i="48" s="1"/>
  <c r="H17" i="48" s="1"/>
  <c r="H18" i="48" s="1"/>
  <c r="H19" i="48" s="1"/>
  <c r="H20" i="48" s="1"/>
  <c r="H21" i="48" s="1"/>
  <c r="H22" i="48" s="1"/>
  <c r="H23" i="48" s="1"/>
  <c r="H24" i="48" s="1"/>
  <c r="H25" i="48" s="1"/>
  <c r="H26" i="48" s="1"/>
  <c r="H27" i="48" s="1"/>
  <c r="H28" i="48" s="1"/>
  <c r="H29" i="48" s="1"/>
  <c r="H30" i="48" s="1"/>
  <c r="H31" i="48" s="1"/>
  <c r="H32" i="48" s="1"/>
  <c r="H33" i="48" s="1"/>
  <c r="H34" i="48" s="1"/>
  <c r="H35" i="48" s="1"/>
  <c r="E4" i="48"/>
  <c r="E35" i="48" s="1"/>
  <c r="V35" i="47"/>
  <c r="U35" i="47"/>
  <c r="T35" i="47"/>
  <c r="S35" i="47"/>
  <c r="R35" i="47"/>
  <c r="Q35" i="47"/>
  <c r="P35" i="47"/>
  <c r="O35" i="47"/>
  <c r="N35" i="47"/>
  <c r="M35" i="47"/>
  <c r="L35" i="47"/>
  <c r="K35" i="47"/>
  <c r="J35" i="47"/>
  <c r="I35" i="47"/>
  <c r="G35" i="47"/>
  <c r="F35" i="47"/>
  <c r="D35" i="47"/>
  <c r="C35" i="47"/>
  <c r="B35" i="47"/>
  <c r="W34" i="47"/>
  <c r="E34" i="47"/>
  <c r="W33" i="47"/>
  <c r="E33" i="47"/>
  <c r="W32" i="47"/>
  <c r="E32" i="47"/>
  <c r="W31" i="47"/>
  <c r="E31" i="47"/>
  <c r="W30" i="47"/>
  <c r="E30" i="47"/>
  <c r="W29" i="47"/>
  <c r="E29" i="47"/>
  <c r="W28" i="47"/>
  <c r="E28" i="47"/>
  <c r="W27" i="47"/>
  <c r="E27" i="47"/>
  <c r="W26" i="47"/>
  <c r="E26" i="47"/>
  <c r="W25" i="47"/>
  <c r="E25" i="47"/>
  <c r="W24" i="47"/>
  <c r="E24" i="47"/>
  <c r="W23" i="47"/>
  <c r="E23" i="47"/>
  <c r="W22" i="47"/>
  <c r="E22" i="47"/>
  <c r="W21" i="47"/>
  <c r="E21" i="47"/>
  <c r="W20" i="47"/>
  <c r="E20" i="47"/>
  <c r="W19" i="47"/>
  <c r="E19" i="47"/>
  <c r="W18" i="47"/>
  <c r="E18" i="47"/>
  <c r="W17" i="47"/>
  <c r="E17" i="47"/>
  <c r="W16" i="47"/>
  <c r="E16" i="47"/>
  <c r="W15" i="47"/>
  <c r="E15" i="47"/>
  <c r="W14" i="47"/>
  <c r="E14" i="47"/>
  <c r="W13" i="47"/>
  <c r="E13" i="47"/>
  <c r="W12" i="47"/>
  <c r="E12" i="47"/>
  <c r="W11" i="47"/>
  <c r="E11" i="47"/>
  <c r="W10" i="47"/>
  <c r="E10" i="47"/>
  <c r="W9" i="47"/>
  <c r="E9" i="47"/>
  <c r="W8" i="47"/>
  <c r="E8" i="47"/>
  <c r="W7" i="47"/>
  <c r="E7" i="47"/>
  <c r="W6" i="47"/>
  <c r="E6" i="47"/>
  <c r="W5" i="47"/>
  <c r="E5" i="47"/>
  <c r="W4" i="47"/>
  <c r="W35" i="47" s="1"/>
  <c r="H4" i="47"/>
  <c r="H5" i="47" s="1"/>
  <c r="H6" i="47" s="1"/>
  <c r="H7" i="47" s="1"/>
  <c r="H8" i="47" s="1"/>
  <c r="H9" i="47" s="1"/>
  <c r="H10" i="47" s="1"/>
  <c r="H11" i="47" s="1"/>
  <c r="H12" i="47" s="1"/>
  <c r="H13" i="47" s="1"/>
  <c r="H14" i="47" s="1"/>
  <c r="H15" i="47" s="1"/>
  <c r="H16" i="47" s="1"/>
  <c r="H17" i="47" s="1"/>
  <c r="H18" i="47" s="1"/>
  <c r="H19" i="47" s="1"/>
  <c r="H20" i="47" s="1"/>
  <c r="H21" i="47" s="1"/>
  <c r="H22" i="47" s="1"/>
  <c r="H23" i="47" s="1"/>
  <c r="H24" i="47" s="1"/>
  <c r="H25" i="47" s="1"/>
  <c r="H26" i="47" s="1"/>
  <c r="H27" i="47" s="1"/>
  <c r="H28" i="47" s="1"/>
  <c r="H29" i="47" s="1"/>
  <c r="H30" i="47" s="1"/>
  <c r="H31" i="47" s="1"/>
  <c r="H32" i="47" s="1"/>
  <c r="H33" i="47" s="1"/>
  <c r="H34" i="47" s="1"/>
  <c r="H35" i="47" s="1"/>
  <c r="E4" i="47"/>
  <c r="E35" i="47" s="1"/>
  <c r="V35" i="46"/>
  <c r="U35" i="46"/>
  <c r="T35" i="46"/>
  <c r="S35" i="46"/>
  <c r="R35" i="46"/>
  <c r="Q35" i="46"/>
  <c r="P35" i="46"/>
  <c r="O35" i="46"/>
  <c r="N35" i="46"/>
  <c r="M35" i="46"/>
  <c r="L35" i="46"/>
  <c r="K35" i="46"/>
  <c r="J35" i="46"/>
  <c r="I35" i="46"/>
  <c r="G35" i="46"/>
  <c r="F35" i="46"/>
  <c r="D35" i="46"/>
  <c r="C35" i="46"/>
  <c r="B35" i="46"/>
  <c r="W34" i="46"/>
  <c r="E34" i="46"/>
  <c r="W33" i="46"/>
  <c r="E33" i="46"/>
  <c r="W32" i="46"/>
  <c r="E32" i="46"/>
  <c r="W31" i="46"/>
  <c r="E31" i="46"/>
  <c r="W30" i="46"/>
  <c r="E30" i="46"/>
  <c r="W29" i="46"/>
  <c r="E29" i="46"/>
  <c r="W28" i="46"/>
  <c r="E28" i="46"/>
  <c r="W27" i="46"/>
  <c r="E27" i="46"/>
  <c r="W26" i="46"/>
  <c r="E26" i="46"/>
  <c r="W25" i="46"/>
  <c r="E25" i="46"/>
  <c r="W24" i="46"/>
  <c r="E24" i="46"/>
  <c r="W23" i="46"/>
  <c r="E23" i="46"/>
  <c r="W22" i="46"/>
  <c r="E22" i="46"/>
  <c r="W21" i="46"/>
  <c r="E21" i="46"/>
  <c r="W20" i="46"/>
  <c r="E20" i="46"/>
  <c r="W19" i="46"/>
  <c r="E19" i="46"/>
  <c r="W18" i="46"/>
  <c r="E18" i="46"/>
  <c r="W17" i="46"/>
  <c r="E17" i="46"/>
  <c r="W16" i="46"/>
  <c r="E16" i="46"/>
  <c r="W15" i="46"/>
  <c r="E15" i="46"/>
  <c r="W14" i="46"/>
  <c r="E14" i="46"/>
  <c r="W13" i="46"/>
  <c r="E13" i="46"/>
  <c r="W12" i="46"/>
  <c r="E12" i="46"/>
  <c r="W11" i="46"/>
  <c r="E11" i="46"/>
  <c r="W10" i="46"/>
  <c r="E10" i="46"/>
  <c r="W9" i="46"/>
  <c r="E9" i="46"/>
  <c r="W8" i="46"/>
  <c r="E8" i="46"/>
  <c r="W7" i="46"/>
  <c r="E7" i="46"/>
  <c r="W6" i="46"/>
  <c r="E6" i="46"/>
  <c r="W5" i="46"/>
  <c r="H5" i="46"/>
  <c r="H6" i="46" s="1"/>
  <c r="H7" i="46" s="1"/>
  <c r="H8" i="46" s="1"/>
  <c r="H9" i="46" s="1"/>
  <c r="H10" i="46" s="1"/>
  <c r="H11" i="46" s="1"/>
  <c r="H12" i="46" s="1"/>
  <c r="H13" i="46" s="1"/>
  <c r="H14" i="46" s="1"/>
  <c r="H15" i="46" s="1"/>
  <c r="H16" i="46" s="1"/>
  <c r="H17" i="46" s="1"/>
  <c r="H18" i="46" s="1"/>
  <c r="H19" i="46" s="1"/>
  <c r="H20" i="46" s="1"/>
  <c r="H21" i="46" s="1"/>
  <c r="H22" i="46" s="1"/>
  <c r="H23" i="46" s="1"/>
  <c r="H24" i="46" s="1"/>
  <c r="H25" i="46" s="1"/>
  <c r="H26" i="46" s="1"/>
  <c r="H27" i="46" s="1"/>
  <c r="H28" i="46" s="1"/>
  <c r="H29" i="46" s="1"/>
  <c r="H30" i="46" s="1"/>
  <c r="H31" i="46" s="1"/>
  <c r="H32" i="46" s="1"/>
  <c r="H33" i="46" s="1"/>
  <c r="H34" i="46" s="1"/>
  <c r="H35" i="46" s="1"/>
  <c r="E5" i="46"/>
  <c r="W4" i="46"/>
  <c r="W35" i="46" s="1"/>
  <c r="H4" i="46"/>
  <c r="E4" i="46"/>
  <c r="E35" i="46" s="1"/>
  <c r="V35" i="45"/>
  <c r="U35" i="45"/>
  <c r="T35" i="45"/>
  <c r="S35" i="45"/>
  <c r="R35" i="45"/>
  <c r="Q35" i="45"/>
  <c r="P35" i="45"/>
  <c r="O35" i="45"/>
  <c r="N35" i="45"/>
  <c r="M35" i="45"/>
  <c r="L35" i="45"/>
  <c r="K35" i="45"/>
  <c r="J35" i="45"/>
  <c r="I35" i="45"/>
  <c r="G35" i="45"/>
  <c r="F35" i="45"/>
  <c r="D35" i="45"/>
  <c r="C35" i="45"/>
  <c r="B35" i="45"/>
  <c r="W34" i="45"/>
  <c r="E34" i="45"/>
  <c r="W33" i="45"/>
  <c r="E33" i="45"/>
  <c r="W32" i="45"/>
  <c r="E32" i="45"/>
  <c r="W31" i="45"/>
  <c r="E31" i="45"/>
  <c r="W30" i="45"/>
  <c r="E30" i="45"/>
  <c r="W29" i="45"/>
  <c r="E29" i="45"/>
  <c r="W28" i="45"/>
  <c r="E28" i="45"/>
  <c r="W27" i="45"/>
  <c r="E27" i="45"/>
  <c r="W26" i="45"/>
  <c r="E26" i="45"/>
  <c r="W25" i="45"/>
  <c r="E25" i="45"/>
  <c r="W24" i="45"/>
  <c r="E24" i="45"/>
  <c r="W23" i="45"/>
  <c r="E23" i="45"/>
  <c r="W22" i="45"/>
  <c r="E22" i="45"/>
  <c r="W21" i="45"/>
  <c r="E21" i="45"/>
  <c r="W20" i="45"/>
  <c r="E20" i="45"/>
  <c r="W19" i="45"/>
  <c r="E19" i="45"/>
  <c r="W18" i="45"/>
  <c r="E18" i="45"/>
  <c r="W17" i="45"/>
  <c r="E17" i="45"/>
  <c r="W16" i="45"/>
  <c r="E16" i="45"/>
  <c r="W15" i="45"/>
  <c r="E15" i="45"/>
  <c r="W14" i="45"/>
  <c r="E14" i="45"/>
  <c r="W13" i="45"/>
  <c r="E13" i="45"/>
  <c r="W12" i="45"/>
  <c r="E12" i="45"/>
  <c r="W11" i="45"/>
  <c r="E11" i="45"/>
  <c r="W10" i="45"/>
  <c r="E10" i="45"/>
  <c r="W9" i="45"/>
  <c r="E9" i="45"/>
  <c r="W8" i="45"/>
  <c r="E8" i="45"/>
  <c r="W7" i="45"/>
  <c r="H7" i="45"/>
  <c r="H8" i="45" s="1"/>
  <c r="H9" i="45" s="1"/>
  <c r="H10" i="45" s="1"/>
  <c r="H11" i="45" s="1"/>
  <c r="H12" i="45" s="1"/>
  <c r="H13" i="45" s="1"/>
  <c r="H14" i="45" s="1"/>
  <c r="H15" i="45" s="1"/>
  <c r="H16" i="45" s="1"/>
  <c r="H17" i="45" s="1"/>
  <c r="H18" i="45" s="1"/>
  <c r="H19" i="45" s="1"/>
  <c r="H20" i="45" s="1"/>
  <c r="H21" i="45" s="1"/>
  <c r="H22" i="45" s="1"/>
  <c r="H23" i="45" s="1"/>
  <c r="H24" i="45" s="1"/>
  <c r="H25" i="45" s="1"/>
  <c r="H26" i="45" s="1"/>
  <c r="H27" i="45" s="1"/>
  <c r="H28" i="45" s="1"/>
  <c r="H29" i="45" s="1"/>
  <c r="H30" i="45" s="1"/>
  <c r="H31" i="45" s="1"/>
  <c r="H32" i="45" s="1"/>
  <c r="H33" i="45" s="1"/>
  <c r="H34" i="45" s="1"/>
  <c r="H35" i="45" s="1"/>
  <c r="E7" i="45"/>
  <c r="W6" i="45"/>
  <c r="H6" i="45"/>
  <c r="E6" i="45"/>
  <c r="W5" i="45"/>
  <c r="H5" i="45"/>
  <c r="E5" i="45"/>
  <c r="W4" i="45"/>
  <c r="W35" i="45" s="1"/>
  <c r="H4" i="45"/>
  <c r="E4" i="45"/>
  <c r="E35" i="45" s="1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G35" i="44"/>
  <c r="F35" i="44"/>
  <c r="D35" i="44"/>
  <c r="C35" i="44"/>
  <c r="B35" i="44"/>
  <c r="W34" i="44"/>
  <c r="E34" i="44"/>
  <c r="W33" i="44"/>
  <c r="E33" i="44"/>
  <c r="W32" i="44"/>
  <c r="E32" i="44"/>
  <c r="W31" i="44"/>
  <c r="E31" i="44"/>
  <c r="W30" i="44"/>
  <c r="E30" i="44"/>
  <c r="W29" i="44"/>
  <c r="E29" i="44"/>
  <c r="W28" i="44"/>
  <c r="E28" i="44"/>
  <c r="W27" i="44"/>
  <c r="E27" i="44"/>
  <c r="W26" i="44"/>
  <c r="E26" i="44"/>
  <c r="W25" i="44"/>
  <c r="E25" i="44"/>
  <c r="W24" i="44"/>
  <c r="E24" i="44"/>
  <c r="W23" i="44"/>
  <c r="E23" i="44"/>
  <c r="W22" i="44"/>
  <c r="E22" i="44"/>
  <c r="W21" i="44"/>
  <c r="E21" i="44"/>
  <c r="W20" i="44"/>
  <c r="E20" i="44"/>
  <c r="W19" i="44"/>
  <c r="E19" i="44"/>
  <c r="W18" i="44"/>
  <c r="E18" i="44"/>
  <c r="W17" i="44"/>
  <c r="E17" i="44"/>
  <c r="W16" i="44"/>
  <c r="E16" i="44"/>
  <c r="W15" i="44"/>
  <c r="E15" i="44"/>
  <c r="W14" i="44"/>
  <c r="E14" i="44"/>
  <c r="W13" i="44"/>
  <c r="E13" i="44"/>
  <c r="W12" i="44"/>
  <c r="E12" i="44"/>
  <c r="W11" i="44"/>
  <c r="E11" i="44"/>
  <c r="W10" i="44"/>
  <c r="E10" i="44"/>
  <c r="W9" i="44"/>
  <c r="E9" i="44"/>
  <c r="W8" i="44"/>
  <c r="E8" i="44"/>
  <c r="W7" i="44"/>
  <c r="E7" i="44"/>
  <c r="W6" i="44"/>
  <c r="E6" i="44"/>
  <c r="W5" i="44"/>
  <c r="E5" i="44"/>
  <c r="W4" i="44"/>
  <c r="W35" i="44" s="1"/>
  <c r="H4" i="44"/>
  <c r="H5" i="44" s="1"/>
  <c r="H6" i="44" s="1"/>
  <c r="H7" i="44" s="1"/>
  <c r="H8" i="44" s="1"/>
  <c r="H9" i="44" s="1"/>
  <c r="H10" i="44" s="1"/>
  <c r="H11" i="44" s="1"/>
  <c r="H12" i="44" s="1"/>
  <c r="H13" i="44" s="1"/>
  <c r="H14" i="44" s="1"/>
  <c r="H15" i="44" s="1"/>
  <c r="H16" i="44" s="1"/>
  <c r="H17" i="44" s="1"/>
  <c r="H18" i="44" s="1"/>
  <c r="H19" i="44" s="1"/>
  <c r="H20" i="44" s="1"/>
  <c r="H21" i="44" s="1"/>
  <c r="H22" i="44" s="1"/>
  <c r="H23" i="44" s="1"/>
  <c r="H24" i="44" s="1"/>
  <c r="H25" i="44" s="1"/>
  <c r="H26" i="44" s="1"/>
  <c r="H27" i="44" s="1"/>
  <c r="H28" i="44" s="1"/>
  <c r="H29" i="44" s="1"/>
  <c r="H30" i="44" s="1"/>
  <c r="H31" i="44" s="1"/>
  <c r="H32" i="44" s="1"/>
  <c r="H33" i="44" s="1"/>
  <c r="H34" i="44" s="1"/>
  <c r="H35" i="44" s="1"/>
  <c r="E4" i="44"/>
  <c r="E35" i="44" s="1"/>
  <c r="V35" i="43"/>
  <c r="U35" i="43"/>
  <c r="T35" i="43"/>
  <c r="S35" i="43"/>
  <c r="R35" i="43"/>
  <c r="Q35" i="43"/>
  <c r="P35" i="43"/>
  <c r="O35" i="43"/>
  <c r="N35" i="43"/>
  <c r="M35" i="43"/>
  <c r="L35" i="43"/>
  <c r="K35" i="43"/>
  <c r="J35" i="43"/>
  <c r="I35" i="43"/>
  <c r="G35" i="43"/>
  <c r="F35" i="43"/>
  <c r="D35" i="43"/>
  <c r="C35" i="43"/>
  <c r="B35" i="43"/>
  <c r="W34" i="43"/>
  <c r="E34" i="43"/>
  <c r="W33" i="43"/>
  <c r="E33" i="43"/>
  <c r="W32" i="43"/>
  <c r="E32" i="43"/>
  <c r="W31" i="43"/>
  <c r="E31" i="43"/>
  <c r="W30" i="43"/>
  <c r="E30" i="43"/>
  <c r="W29" i="43"/>
  <c r="E29" i="43"/>
  <c r="W28" i="43"/>
  <c r="E28" i="43"/>
  <c r="W27" i="43"/>
  <c r="E27" i="43"/>
  <c r="W26" i="43"/>
  <c r="E26" i="43"/>
  <c r="W25" i="43"/>
  <c r="E25" i="43"/>
  <c r="W24" i="43"/>
  <c r="E24" i="43"/>
  <c r="W23" i="43"/>
  <c r="E23" i="43"/>
  <c r="W22" i="43"/>
  <c r="E22" i="43"/>
  <c r="W21" i="43"/>
  <c r="E21" i="43"/>
  <c r="W20" i="43"/>
  <c r="E20" i="43"/>
  <c r="W19" i="43"/>
  <c r="E19" i="43"/>
  <c r="W18" i="43"/>
  <c r="E18" i="43"/>
  <c r="W17" i="43"/>
  <c r="E17" i="43"/>
  <c r="W16" i="43"/>
  <c r="E16" i="43"/>
  <c r="W15" i="43"/>
  <c r="E15" i="43"/>
  <c r="W14" i="43"/>
  <c r="E14" i="43"/>
  <c r="W13" i="43"/>
  <c r="E13" i="43"/>
  <c r="W12" i="43"/>
  <c r="E12" i="43"/>
  <c r="W11" i="43"/>
  <c r="E11" i="43"/>
  <c r="W10" i="43"/>
  <c r="E10" i="43"/>
  <c r="W9" i="43"/>
  <c r="E9" i="43"/>
  <c r="W8" i="43"/>
  <c r="E8" i="43"/>
  <c r="W7" i="43"/>
  <c r="E7" i="43"/>
  <c r="W6" i="43"/>
  <c r="E6" i="43"/>
  <c r="W5" i="43"/>
  <c r="H5" i="43"/>
  <c r="H6" i="43" s="1"/>
  <c r="H7" i="43" s="1"/>
  <c r="H8" i="43" s="1"/>
  <c r="H9" i="43" s="1"/>
  <c r="H10" i="43" s="1"/>
  <c r="H11" i="43" s="1"/>
  <c r="H12" i="43" s="1"/>
  <c r="H13" i="43" s="1"/>
  <c r="H14" i="43" s="1"/>
  <c r="H15" i="43" s="1"/>
  <c r="H16" i="43" s="1"/>
  <c r="H17" i="43" s="1"/>
  <c r="H18" i="43" s="1"/>
  <c r="H19" i="43" s="1"/>
  <c r="H20" i="43" s="1"/>
  <c r="H21" i="43" s="1"/>
  <c r="H22" i="43" s="1"/>
  <c r="H23" i="43" s="1"/>
  <c r="H24" i="43" s="1"/>
  <c r="H25" i="43" s="1"/>
  <c r="H26" i="43" s="1"/>
  <c r="H27" i="43" s="1"/>
  <c r="H28" i="43" s="1"/>
  <c r="H29" i="43" s="1"/>
  <c r="H30" i="43" s="1"/>
  <c r="H31" i="43" s="1"/>
  <c r="H32" i="43" s="1"/>
  <c r="H33" i="43" s="1"/>
  <c r="H34" i="43" s="1"/>
  <c r="H35" i="43" s="1"/>
  <c r="E5" i="43"/>
  <c r="W4" i="43"/>
  <c r="W35" i="43" s="1"/>
  <c r="H4" i="43"/>
  <c r="E4" i="43"/>
  <c r="E35" i="43" s="1"/>
  <c r="V35" i="42"/>
  <c r="U35" i="42"/>
  <c r="T35" i="42"/>
  <c r="S35" i="42"/>
  <c r="R35" i="42"/>
  <c r="Q35" i="42"/>
  <c r="P35" i="42"/>
  <c r="O35" i="42"/>
  <c r="N35" i="42"/>
  <c r="M35" i="42"/>
  <c r="L35" i="42"/>
  <c r="K35" i="42"/>
  <c r="J35" i="42"/>
  <c r="I35" i="42"/>
  <c r="G35" i="42"/>
  <c r="F35" i="42"/>
  <c r="D35" i="42"/>
  <c r="C35" i="42"/>
  <c r="B35" i="42"/>
  <c r="W34" i="42"/>
  <c r="E34" i="42"/>
  <c r="W33" i="42"/>
  <c r="E33" i="42"/>
  <c r="W32" i="42"/>
  <c r="E32" i="42"/>
  <c r="W31" i="42"/>
  <c r="E31" i="42"/>
  <c r="W30" i="42"/>
  <c r="E30" i="42"/>
  <c r="W29" i="42"/>
  <c r="E29" i="42"/>
  <c r="W28" i="42"/>
  <c r="E28" i="42"/>
  <c r="W27" i="42"/>
  <c r="E27" i="42"/>
  <c r="W26" i="42"/>
  <c r="E26" i="42"/>
  <c r="W25" i="42"/>
  <c r="E25" i="42"/>
  <c r="W24" i="42"/>
  <c r="E24" i="42"/>
  <c r="W23" i="42"/>
  <c r="E23" i="42"/>
  <c r="W22" i="42"/>
  <c r="E22" i="42"/>
  <c r="W21" i="42"/>
  <c r="E21" i="42"/>
  <c r="W20" i="42"/>
  <c r="E20" i="42"/>
  <c r="W19" i="42"/>
  <c r="E19" i="42"/>
  <c r="W18" i="42"/>
  <c r="E18" i="42"/>
  <c r="W17" i="42"/>
  <c r="E17" i="42"/>
  <c r="W16" i="42"/>
  <c r="E16" i="42"/>
  <c r="W15" i="42"/>
  <c r="E15" i="42"/>
  <c r="W14" i="42"/>
  <c r="E14" i="42"/>
  <c r="W13" i="42"/>
  <c r="E13" i="42"/>
  <c r="W12" i="42"/>
  <c r="E12" i="42"/>
  <c r="W11" i="42"/>
  <c r="E11" i="42"/>
  <c r="W10" i="42"/>
  <c r="E10" i="42"/>
  <c r="W9" i="42"/>
  <c r="E9" i="42"/>
  <c r="W8" i="42"/>
  <c r="E8" i="42"/>
  <c r="W7" i="42"/>
  <c r="E7" i="42"/>
  <c r="W6" i="42"/>
  <c r="E6" i="42"/>
  <c r="W5" i="42"/>
  <c r="H5" i="42"/>
  <c r="H6" i="42" s="1"/>
  <c r="H7" i="42" s="1"/>
  <c r="H8" i="42" s="1"/>
  <c r="H9" i="42" s="1"/>
  <c r="H10" i="42" s="1"/>
  <c r="H11" i="42" s="1"/>
  <c r="H12" i="42" s="1"/>
  <c r="H13" i="42" s="1"/>
  <c r="H14" i="42" s="1"/>
  <c r="H15" i="42" s="1"/>
  <c r="H16" i="42" s="1"/>
  <c r="H17" i="42" s="1"/>
  <c r="H18" i="42" s="1"/>
  <c r="H19" i="42" s="1"/>
  <c r="H20" i="42" s="1"/>
  <c r="H21" i="42" s="1"/>
  <c r="H22" i="42" s="1"/>
  <c r="H23" i="42" s="1"/>
  <c r="H24" i="42" s="1"/>
  <c r="H25" i="42" s="1"/>
  <c r="H26" i="42" s="1"/>
  <c r="H27" i="42" s="1"/>
  <c r="H28" i="42" s="1"/>
  <c r="H29" i="42" s="1"/>
  <c r="H30" i="42" s="1"/>
  <c r="H31" i="42" s="1"/>
  <c r="H32" i="42" s="1"/>
  <c r="H33" i="42" s="1"/>
  <c r="H34" i="42" s="1"/>
  <c r="H35" i="42" s="1"/>
  <c r="E5" i="42"/>
  <c r="W4" i="42"/>
  <c r="W35" i="42" s="1"/>
  <c r="H4" i="42"/>
  <c r="E4" i="42"/>
  <c r="E35" i="42" s="1"/>
  <c r="V35" i="41"/>
  <c r="U35" i="41"/>
  <c r="T35" i="41"/>
  <c r="S35" i="41"/>
  <c r="R35" i="41"/>
  <c r="Q35" i="41"/>
  <c r="P35" i="41"/>
  <c r="O35" i="41"/>
  <c r="N35" i="41"/>
  <c r="M35" i="41"/>
  <c r="L35" i="41"/>
  <c r="K35" i="41"/>
  <c r="J35" i="41"/>
  <c r="I35" i="41"/>
  <c r="G35" i="41"/>
  <c r="F35" i="41"/>
  <c r="D35" i="41"/>
  <c r="C35" i="41"/>
  <c r="B35" i="41"/>
  <c r="W34" i="41"/>
  <c r="E34" i="41"/>
  <c r="W33" i="41"/>
  <c r="E33" i="41"/>
  <c r="W32" i="41"/>
  <c r="E32" i="41"/>
  <c r="W31" i="41"/>
  <c r="E31" i="41"/>
  <c r="W30" i="41"/>
  <c r="E30" i="41"/>
  <c r="W29" i="41"/>
  <c r="E29" i="41"/>
  <c r="W28" i="41"/>
  <c r="E28" i="41"/>
  <c r="W27" i="41"/>
  <c r="E27" i="41"/>
  <c r="W26" i="41"/>
  <c r="E26" i="41"/>
  <c r="W25" i="41"/>
  <c r="E25" i="41"/>
  <c r="W24" i="41"/>
  <c r="E24" i="41"/>
  <c r="W23" i="41"/>
  <c r="E23" i="41"/>
  <c r="W22" i="41"/>
  <c r="E22" i="41"/>
  <c r="W21" i="41"/>
  <c r="E21" i="41"/>
  <c r="W20" i="41"/>
  <c r="E20" i="41"/>
  <c r="W19" i="41"/>
  <c r="E19" i="41"/>
  <c r="W18" i="41"/>
  <c r="E18" i="41"/>
  <c r="W17" i="41"/>
  <c r="E17" i="41"/>
  <c r="W16" i="41"/>
  <c r="E16" i="41"/>
  <c r="W15" i="41"/>
  <c r="E15" i="41"/>
  <c r="W14" i="41"/>
  <c r="E14" i="41"/>
  <c r="W13" i="41"/>
  <c r="E13" i="41"/>
  <c r="W12" i="41"/>
  <c r="E12" i="41"/>
  <c r="W11" i="41"/>
  <c r="E11" i="41"/>
  <c r="W10" i="41"/>
  <c r="E10" i="41"/>
  <c r="W9" i="41"/>
  <c r="E9" i="41"/>
  <c r="W8" i="41"/>
  <c r="E8" i="41"/>
  <c r="W7" i="41"/>
  <c r="E7" i="41"/>
  <c r="W6" i="41"/>
  <c r="E6" i="41"/>
  <c r="W5" i="41"/>
  <c r="H5" i="41"/>
  <c r="H6" i="41" s="1"/>
  <c r="H7" i="41" s="1"/>
  <c r="H8" i="41" s="1"/>
  <c r="H9" i="41" s="1"/>
  <c r="H10" i="41" s="1"/>
  <c r="H11" i="41" s="1"/>
  <c r="H12" i="41" s="1"/>
  <c r="H13" i="41" s="1"/>
  <c r="H14" i="41" s="1"/>
  <c r="H15" i="41" s="1"/>
  <c r="H16" i="41" s="1"/>
  <c r="H17" i="41" s="1"/>
  <c r="H18" i="41" s="1"/>
  <c r="H19" i="41" s="1"/>
  <c r="H20" i="41" s="1"/>
  <c r="H21" i="41" s="1"/>
  <c r="H22" i="41" s="1"/>
  <c r="H23" i="41" s="1"/>
  <c r="H24" i="41" s="1"/>
  <c r="H25" i="41" s="1"/>
  <c r="H26" i="41" s="1"/>
  <c r="H27" i="41" s="1"/>
  <c r="H28" i="41" s="1"/>
  <c r="H29" i="41" s="1"/>
  <c r="H30" i="41" s="1"/>
  <c r="H31" i="41" s="1"/>
  <c r="H32" i="41" s="1"/>
  <c r="H33" i="41" s="1"/>
  <c r="H34" i="41" s="1"/>
  <c r="H35" i="41" s="1"/>
  <c r="E5" i="41"/>
  <c r="W4" i="41"/>
  <c r="W35" i="41" s="1"/>
  <c r="H4" i="41"/>
  <c r="E4" i="41"/>
  <c r="E35" i="41" s="1"/>
  <c r="E37" i="16" l="1"/>
  <c r="V35" i="16"/>
  <c r="U35" i="16"/>
  <c r="T35" i="16"/>
  <c r="S35" i="16"/>
  <c r="R35" i="16"/>
  <c r="Q35" i="16"/>
  <c r="P35" i="16"/>
  <c r="O35" i="16"/>
  <c r="N35" i="16"/>
  <c r="M35" i="16"/>
  <c r="L35" i="16"/>
  <c r="L39" i="16" s="1"/>
  <c r="K35" i="16"/>
  <c r="L38" i="16" s="1"/>
  <c r="I35" i="16"/>
  <c r="D35" i="16"/>
  <c r="C35" i="16"/>
  <c r="B35" i="16"/>
  <c r="W34" i="16"/>
  <c r="X34" i="16" s="1"/>
  <c r="G34" i="16"/>
  <c r="E34" i="16"/>
  <c r="A34" i="16"/>
  <c r="W33" i="16"/>
  <c r="X33" i="16" s="1"/>
  <c r="G33" i="16"/>
  <c r="E33" i="16"/>
  <c r="A33" i="16"/>
  <c r="W32" i="16"/>
  <c r="X32" i="16" s="1"/>
  <c r="G32" i="16"/>
  <c r="E32" i="16"/>
  <c r="A32" i="16"/>
  <c r="W31" i="16"/>
  <c r="X31" i="16" s="1"/>
  <c r="G31" i="16"/>
  <c r="E31" i="16"/>
  <c r="A31" i="16"/>
  <c r="W30" i="16"/>
  <c r="X30" i="16" s="1"/>
  <c r="G30" i="16"/>
  <c r="E30" i="16"/>
  <c r="A30" i="16"/>
  <c r="W29" i="16"/>
  <c r="X29" i="16" s="1"/>
  <c r="G29" i="16"/>
  <c r="E29" i="16"/>
  <c r="A29" i="16"/>
  <c r="W28" i="16"/>
  <c r="X28" i="16" s="1"/>
  <c r="G28" i="16"/>
  <c r="E28" i="16"/>
  <c r="A28" i="16"/>
  <c r="W27" i="16"/>
  <c r="X27" i="16" s="1"/>
  <c r="G27" i="16"/>
  <c r="E27" i="16"/>
  <c r="A27" i="16"/>
  <c r="W26" i="16"/>
  <c r="X26" i="16" s="1"/>
  <c r="G26" i="16"/>
  <c r="E26" i="16"/>
  <c r="A26" i="16"/>
  <c r="W25" i="16"/>
  <c r="X25" i="16" s="1"/>
  <c r="G25" i="16"/>
  <c r="E25" i="16"/>
  <c r="A25" i="16"/>
  <c r="W24" i="16"/>
  <c r="X24" i="16" s="1"/>
  <c r="G24" i="16"/>
  <c r="E24" i="16"/>
  <c r="A24" i="16"/>
  <c r="W23" i="16"/>
  <c r="X23" i="16" s="1"/>
  <c r="G23" i="16"/>
  <c r="E23" i="16"/>
  <c r="A23" i="16"/>
  <c r="W22" i="16"/>
  <c r="X22" i="16" s="1"/>
  <c r="G22" i="16"/>
  <c r="E22" i="16"/>
  <c r="A22" i="16"/>
  <c r="W21" i="16"/>
  <c r="X21" i="16" s="1"/>
  <c r="G21" i="16"/>
  <c r="E21" i="16"/>
  <c r="A21" i="16"/>
  <c r="W20" i="16"/>
  <c r="X20" i="16" s="1"/>
  <c r="G20" i="16"/>
  <c r="E20" i="16"/>
  <c r="A20" i="16"/>
  <c r="W19" i="16"/>
  <c r="X19" i="16" s="1"/>
  <c r="G19" i="16"/>
  <c r="E19" i="16"/>
  <c r="A19" i="16"/>
  <c r="W18" i="16"/>
  <c r="X18" i="16" s="1"/>
  <c r="G18" i="16"/>
  <c r="E18" i="16"/>
  <c r="A18" i="16"/>
  <c r="W17" i="16"/>
  <c r="X17" i="16" s="1"/>
  <c r="G17" i="16"/>
  <c r="E17" i="16"/>
  <c r="A17" i="16"/>
  <c r="W16" i="16"/>
  <c r="X16" i="16" s="1"/>
  <c r="G16" i="16"/>
  <c r="E16" i="16"/>
  <c r="A16" i="16"/>
  <c r="W15" i="16"/>
  <c r="X15" i="16" s="1"/>
  <c r="G15" i="16"/>
  <c r="E15" i="16"/>
  <c r="A15" i="16"/>
  <c r="W14" i="16"/>
  <c r="X14" i="16" s="1"/>
  <c r="G14" i="16"/>
  <c r="E14" i="16"/>
  <c r="A14" i="16"/>
  <c r="W13" i="16"/>
  <c r="X13" i="16" s="1"/>
  <c r="G13" i="16"/>
  <c r="E13" i="16"/>
  <c r="A13" i="16"/>
  <c r="W12" i="16"/>
  <c r="X12" i="16" s="1"/>
  <c r="G12" i="16"/>
  <c r="E12" i="16"/>
  <c r="A12" i="16"/>
  <c r="X11" i="16"/>
  <c r="W11" i="16"/>
  <c r="G11" i="16"/>
  <c r="E11" i="16"/>
  <c r="A11" i="16"/>
  <c r="W10" i="16"/>
  <c r="X10" i="16" s="1"/>
  <c r="G10" i="16"/>
  <c r="E10" i="16"/>
  <c r="A10" i="16"/>
  <c r="W9" i="16"/>
  <c r="X9" i="16" s="1"/>
  <c r="G9" i="16"/>
  <c r="E9" i="16"/>
  <c r="A9" i="16"/>
  <c r="W8" i="16"/>
  <c r="X8" i="16" s="1"/>
  <c r="G8" i="16"/>
  <c r="E8" i="16"/>
  <c r="A8" i="16"/>
  <c r="X7" i="16"/>
  <c r="W7" i="16"/>
  <c r="G7" i="16"/>
  <c r="E7" i="16"/>
  <c r="A7" i="16"/>
  <c r="W6" i="16"/>
  <c r="X6" i="16" s="1"/>
  <c r="G6" i="16"/>
  <c r="E6" i="16"/>
  <c r="A6" i="16"/>
  <c r="W5" i="16"/>
  <c r="X5" i="16" s="1"/>
  <c r="J5" i="16"/>
  <c r="J6" i="16" s="1"/>
  <c r="J7" i="16" s="1"/>
  <c r="J8" i="16" s="1"/>
  <c r="J9" i="16" s="1"/>
  <c r="J10" i="16" s="1"/>
  <c r="J11" i="16" s="1"/>
  <c r="J12" i="16" s="1"/>
  <c r="J13" i="16" s="1"/>
  <c r="J14" i="16" s="1"/>
  <c r="J15" i="16" s="1"/>
  <c r="J16" i="16" s="1"/>
  <c r="J17" i="16" s="1"/>
  <c r="J18" i="16" s="1"/>
  <c r="J19" i="16" s="1"/>
  <c r="J20" i="16" s="1"/>
  <c r="J21" i="16" s="1"/>
  <c r="J22" i="16" s="1"/>
  <c r="J23" i="16" s="1"/>
  <c r="J24" i="16" s="1"/>
  <c r="J25" i="16" s="1"/>
  <c r="J26" i="16" s="1"/>
  <c r="J27" i="16" s="1"/>
  <c r="J28" i="16" s="1"/>
  <c r="J29" i="16" s="1"/>
  <c r="J30" i="16" s="1"/>
  <c r="J31" i="16" s="1"/>
  <c r="J32" i="16" s="1"/>
  <c r="J33" i="16" s="1"/>
  <c r="J34" i="16" s="1"/>
  <c r="G5" i="16"/>
  <c r="E5" i="16"/>
  <c r="E35" i="16" s="1"/>
  <c r="A5" i="16"/>
  <c r="W4" i="16"/>
  <c r="H4" i="16"/>
  <c r="G4" i="16"/>
  <c r="E4" i="16"/>
  <c r="F4" i="16" s="1"/>
  <c r="A4" i="16"/>
  <c r="H113" i="37"/>
  <c r="G112" i="37"/>
  <c r="D111" i="37"/>
  <c r="G109" i="37"/>
  <c r="G108" i="37"/>
  <c r="D108" i="37"/>
  <c r="G107" i="37"/>
  <c r="D107" i="37"/>
  <c r="D106" i="37"/>
  <c r="D105" i="37"/>
  <c r="D109" i="37" s="1"/>
  <c r="D112" i="37" s="1"/>
  <c r="D104" i="37"/>
  <c r="D99" i="37"/>
  <c r="C96" i="37"/>
  <c r="D96" i="37" s="1"/>
  <c r="D95" i="37"/>
  <c r="D94" i="37"/>
  <c r="C93" i="37"/>
  <c r="G111" i="37" s="1"/>
  <c r="D92" i="37"/>
  <c r="D91" i="37"/>
  <c r="D90" i="37"/>
  <c r="D89" i="37"/>
  <c r="D88" i="37"/>
  <c r="D87" i="37"/>
  <c r="D86" i="37"/>
  <c r="D85" i="37"/>
  <c r="D84" i="37"/>
  <c r="D83" i="37"/>
  <c r="D78" i="37"/>
  <c r="D75" i="37"/>
  <c r="D74" i="37"/>
  <c r="D73" i="37"/>
  <c r="D76" i="37" s="1"/>
  <c r="D79" i="37" s="1"/>
  <c r="D68" i="37"/>
  <c r="D65" i="37"/>
  <c r="D64" i="37"/>
  <c r="D63" i="37"/>
  <c r="D62" i="37"/>
  <c r="D66" i="37" s="1"/>
  <c r="D69" i="37" s="1"/>
  <c r="D57" i="37"/>
  <c r="D54" i="37"/>
  <c r="D53" i="37"/>
  <c r="D52" i="37"/>
  <c r="D51" i="37"/>
  <c r="D55" i="37" s="1"/>
  <c r="D58" i="37" s="1"/>
  <c r="D50" i="37"/>
  <c r="D49" i="37"/>
  <c r="D43" i="37"/>
  <c r="D39" i="37"/>
  <c r="D44" i="37" s="1"/>
  <c r="D36" i="37"/>
  <c r="D35" i="37"/>
  <c r="D34" i="37"/>
  <c r="D33" i="37"/>
  <c r="D32" i="37"/>
  <c r="C31" i="37"/>
  <c r="D31" i="37" s="1"/>
  <c r="C30" i="37"/>
  <c r="D30" i="37" s="1"/>
  <c r="D29" i="37"/>
  <c r="D28" i="37"/>
  <c r="C28" i="37"/>
  <c r="G106" i="37" s="1"/>
  <c r="D22" i="37"/>
  <c r="C19" i="37"/>
  <c r="D19" i="37" s="1"/>
  <c r="D18" i="37"/>
  <c r="D17" i="37"/>
  <c r="C17" i="37"/>
  <c r="D16" i="37"/>
  <c r="C15" i="37"/>
  <c r="D15" i="37" s="1"/>
  <c r="C14" i="37"/>
  <c r="D14" i="37" s="1"/>
  <c r="D13" i="37"/>
  <c r="D12" i="37"/>
  <c r="D11" i="37"/>
  <c r="D10" i="37"/>
  <c r="D9" i="37"/>
  <c r="D8" i="37"/>
  <c r="D7" i="37"/>
  <c r="D6" i="37"/>
  <c r="D37" i="37" l="1"/>
  <c r="D20" i="37"/>
  <c r="D23" i="37" s="1"/>
  <c r="G105" i="37"/>
  <c r="G113" i="37" s="1"/>
  <c r="G115" i="37" s="1"/>
  <c r="D93" i="37"/>
  <c r="D97" i="37" s="1"/>
  <c r="D100" i="37" s="1"/>
  <c r="J1" i="16"/>
  <c r="G35" i="16"/>
  <c r="W35" i="16"/>
  <c r="F5" i="16"/>
  <c r="F6" i="16" s="1"/>
  <c r="F7" i="16" s="1"/>
  <c r="F8" i="16" s="1"/>
  <c r="F9" i="16" s="1"/>
  <c r="F10" i="16" s="1"/>
  <c r="F11" i="16" s="1"/>
  <c r="F12" i="16" s="1"/>
  <c r="F13" i="16" s="1"/>
  <c r="F14" i="16" s="1"/>
  <c r="F15" i="16" s="1"/>
  <c r="F16" i="16" s="1"/>
  <c r="F17" i="16" s="1"/>
  <c r="F18" i="16" s="1"/>
  <c r="F19" i="16" s="1"/>
  <c r="F20" i="16" s="1"/>
  <c r="F21" i="16" s="1"/>
  <c r="F22" i="16" s="1"/>
  <c r="F23" i="16" s="1"/>
  <c r="F24" i="16" s="1"/>
  <c r="F25" i="16" s="1"/>
  <c r="F26" i="16" s="1"/>
  <c r="F27" i="16" s="1"/>
  <c r="F28" i="16" s="1"/>
  <c r="F29" i="16" s="1"/>
  <c r="F30" i="16" s="1"/>
  <c r="F31" i="16" s="1"/>
  <c r="F32" i="16" s="1"/>
  <c r="F33" i="16" s="1"/>
  <c r="F34" i="16" s="1"/>
  <c r="X4" i="16"/>
  <c r="X35" i="16" s="1"/>
  <c r="H5" i="16"/>
  <c r="H6" i="16" s="1"/>
  <c r="H7" i="16" s="1"/>
  <c r="H8" i="16" s="1"/>
  <c r="H9" i="16" s="1"/>
  <c r="H10" i="16" s="1"/>
  <c r="H11" i="16" s="1"/>
  <c r="H12" i="16" s="1"/>
  <c r="H13" i="16" s="1"/>
  <c r="H14" i="16" s="1"/>
  <c r="H15" i="16" s="1"/>
  <c r="H16" i="16" s="1"/>
  <c r="H17" i="16" s="1"/>
  <c r="H18" i="16" s="1"/>
  <c r="H19" i="16" s="1"/>
  <c r="H20" i="16" s="1"/>
  <c r="H21" i="16" s="1"/>
  <c r="H22" i="16" s="1"/>
  <c r="H23" i="16" s="1"/>
  <c r="H24" i="16" s="1"/>
  <c r="H25" i="16" s="1"/>
  <c r="H26" i="16" s="1"/>
  <c r="H27" i="16" s="1"/>
  <c r="H28" i="16" s="1"/>
  <c r="H29" i="16" s="1"/>
  <c r="H30" i="16" s="1"/>
  <c r="H31" i="16" s="1"/>
  <c r="H32" i="16" s="1"/>
  <c r="H33" i="16" s="1"/>
  <c r="H34" i="16" s="1"/>
  <c r="D42" i="37" l="1"/>
  <c r="D45" i="37" s="1"/>
  <c r="D40" i="37"/>
</calcChain>
</file>

<file path=xl/sharedStrings.xml><?xml version="1.0" encoding="utf-8"?>
<sst xmlns="http://schemas.openxmlformats.org/spreadsheetml/2006/main" count="878" uniqueCount="162">
  <si>
    <t>GLM  PD  Without jet AS PER MIS</t>
  </si>
  <si>
    <t>OLD RATE</t>
  </si>
  <si>
    <t>Month</t>
  </si>
  <si>
    <t>Ptr P/D chemical cost kg/kg</t>
  </si>
  <si>
    <t>Chemical  Name</t>
  </si>
  <si>
    <t>Rate</t>
  </si>
  <si>
    <t>cons.</t>
  </si>
  <si>
    <t>cost</t>
  </si>
  <si>
    <t>RUCOLASE HCH</t>
  </si>
  <si>
    <t>VEROLAN SEFE</t>
  </si>
  <si>
    <t>GREEN ACID</t>
  </si>
  <si>
    <t>ACETIC ACID</t>
  </si>
  <si>
    <t>NEUTRACID NVM</t>
  </si>
  <si>
    <t>RUCO ACID C</t>
  </si>
  <si>
    <t>FINOCON IDU</t>
  </si>
  <si>
    <t>FELOSAN HLDN</t>
  </si>
  <si>
    <r>
      <rPr>
        <b/>
        <sz val="10"/>
        <rFont val="Arial"/>
        <charset val="134"/>
      </rPr>
      <t>LUFIBROL</t>
    </r>
    <r>
      <rPr>
        <b/>
        <sz val="9"/>
        <color rgb="FF000000"/>
        <rFont val="Calibri"/>
        <charset val="134"/>
      </rPr>
      <t> ANTOX.IN</t>
    </r>
  </si>
  <si>
    <t xml:space="preserve">Hydrogen Peroxide </t>
  </si>
  <si>
    <t>HYDROGEN PEROXIDE
 (CAR BOY)</t>
  </si>
  <si>
    <t>NAOH 100%</t>
  </si>
  <si>
    <t>OXALIC ACID</t>
  </si>
  <si>
    <t>BRT</t>
  </si>
  <si>
    <t>Total cost</t>
  </si>
  <si>
    <t>Ptr prod. mtrs</t>
  </si>
  <si>
    <t>Ptr prod in kg</t>
  </si>
  <si>
    <t>cost kg/kg</t>
  </si>
  <si>
    <t xml:space="preserve">Perble chemical cost kg/kg </t>
  </si>
  <si>
    <t>CHEMICAL NAME</t>
  </si>
  <si>
    <t>RATE</t>
  </si>
  <si>
    <t xml:space="preserve">Caustic Lye (NaOH)    </t>
  </si>
  <si>
    <t>CONTABON  BRT</t>
  </si>
  <si>
    <t>SIRRIX 2UDI</t>
  </si>
  <si>
    <t>HOSTAPAL MRZ</t>
  </si>
  <si>
    <t>Perble prod. mtrs</t>
  </si>
  <si>
    <t>Perble prod in kg</t>
  </si>
  <si>
    <t>Total perble +ptr cost</t>
  </si>
  <si>
    <t>Ptr +Perble prod. mtrs</t>
  </si>
  <si>
    <t>Ptr +Perble prod in kg</t>
  </si>
  <si>
    <t xml:space="preserve">Soaper-2 acid  Chemical cost kg/kg </t>
  </si>
  <si>
    <t>SOKOLAN CP-5</t>
  </si>
  <si>
    <t>Acid wash  prod. mtrs</t>
  </si>
  <si>
    <t>Acid wash prod. kg.</t>
  </si>
  <si>
    <t xml:space="preserve">NPS P/D Batch Desize &amp; NPS DESIZE  Chemical cost kg/kg </t>
  </si>
  <si>
    <t>BEISOL SED</t>
  </si>
  <si>
    <t>NPS Batch prod. mtrs</t>
  </si>
  <si>
    <t>NPS Btach prod. kg.</t>
  </si>
  <si>
    <t xml:space="preserve">NPS P/D Hot Desize for critical Qualities  Chemical cost kg/kg </t>
  </si>
  <si>
    <t>NPS HOT DESIZE prod. mtrs</t>
  </si>
  <si>
    <t>NPS HOT DESIZE prod. kg.</t>
  </si>
  <si>
    <t xml:space="preserve">NPS+batcher  P/D S.B.+cold bleach &amp; double coc Chemical cost kg/kg </t>
  </si>
  <si>
    <t>Hydrogen Peroxide</t>
  </si>
  <si>
    <t>CELLUNASE RT</t>
  </si>
  <si>
    <t>Sodium Persulphate</t>
  </si>
  <si>
    <t>BIAVIN BPA</t>
  </si>
  <si>
    <t>UVITEX BST</t>
  </si>
  <si>
    <t>NPS p/d steambleaching prod. mtrs</t>
  </si>
  <si>
    <t>NPS p/d steam bleaching prod. kg.</t>
  </si>
  <si>
    <t xml:space="preserve">Merc Chemical cost kg/kg  </t>
  </si>
  <si>
    <t>NAOH</t>
  </si>
  <si>
    <t>ptr</t>
  </si>
  <si>
    <t>perble</t>
  </si>
  <si>
    <t>soaper</t>
  </si>
  <si>
    <t>ALUM</t>
  </si>
  <si>
    <t xml:space="preserve">nps batch </t>
  </si>
  <si>
    <t>nps hot desize</t>
  </si>
  <si>
    <t xml:space="preserve"> MERC prod. mtrs</t>
  </si>
  <si>
    <t>MERC prod. kg.</t>
  </si>
  <si>
    <t>nps s.b.</t>
  </si>
  <si>
    <t>Merc</t>
  </si>
  <si>
    <t>PERFORMANCE REVIEW  - PREPARATORY DEPARTMENT AUG-2024</t>
  </si>
  <si>
    <t xml:space="preserve">SR. </t>
  </si>
  <si>
    <t xml:space="preserve">          PARAMETER</t>
  </si>
  <si>
    <t>OSTHOFF-1</t>
  </si>
  <si>
    <t>OSTHOFF-2</t>
  </si>
  <si>
    <t xml:space="preserve">PERBLE </t>
  </si>
  <si>
    <t>MERCERISER-I</t>
  </si>
  <si>
    <t>PARAMETER</t>
  </si>
  <si>
    <t>XETMA 3</t>
  </si>
  <si>
    <t>LAFFER-1</t>
  </si>
  <si>
    <t>LAFFER-2</t>
  </si>
  <si>
    <t>LAFFER-3</t>
  </si>
  <si>
    <t>LAFFER-4</t>
  </si>
  <si>
    <t>SWASTIK</t>
  </si>
  <si>
    <t>BATCHING ST-1</t>
  </si>
  <si>
    <t>BATCHING ST-2</t>
  </si>
  <si>
    <t>NO.</t>
  </si>
  <si>
    <t>PROCESSED , MTRS</t>
  </si>
  <si>
    <t>EFFECTIVE. PROCESSED , MTRS</t>
  </si>
  <si>
    <t>TOTAL HRS. RUN</t>
  </si>
  <si>
    <t>UTILIZATION %</t>
  </si>
  <si>
    <t>AVRAGE SPEED</t>
  </si>
  <si>
    <t>TOTAL HRS</t>
  </si>
  <si>
    <t>ENGG. STOPPAGES</t>
  </si>
  <si>
    <t>HOURS  &amp;  %</t>
  </si>
  <si>
    <t>HRS</t>
  </si>
  <si>
    <t>% AGE</t>
  </si>
  <si>
    <t>Mechanical</t>
  </si>
  <si>
    <t>Electrical</t>
  </si>
  <si>
    <t>TOTAL</t>
  </si>
  <si>
    <t xml:space="preserve">REASONS FOR </t>
  </si>
  <si>
    <t>STOPPAGES</t>
  </si>
  <si>
    <t>1)ENGG. STOPPAGES</t>
  </si>
  <si>
    <t xml:space="preserve">MECH. BREAKDOWN           </t>
  </si>
  <si>
    <t xml:space="preserve">ELECT. BREAKDOWN      </t>
  </si>
  <si>
    <t xml:space="preserve">MECH. MAINTAINENCE     </t>
  </si>
  <si>
    <t>NO POWER</t>
  </si>
  <si>
    <t>NO STEAM</t>
  </si>
  <si>
    <t>CHANGE OVER FOR BRUSHING</t>
  </si>
  <si>
    <t xml:space="preserve">2) PROCESS </t>
  </si>
  <si>
    <t xml:space="preserve">M/C CLEANING     </t>
  </si>
  <si>
    <t>QUALITY , DWELL TIME CHANGE</t>
  </si>
  <si>
    <t xml:space="preserve">NO PROGRAMME          </t>
  </si>
  <si>
    <t>MAN POWER SHORTAGE</t>
  </si>
  <si>
    <t xml:space="preserve">      MISC.    STOPPAGE
(IN NOW OTHER OPERATIONAL FFAULT)             </t>
  </si>
  <si>
    <t>INSECT PROBLEM.</t>
  </si>
  <si>
    <t>NO TROLLEY</t>
  </si>
  <si>
    <t>REPROCESS , MTRS</t>
  </si>
  <si>
    <t>REPROCESS %</t>
  </si>
  <si>
    <t xml:space="preserve">REASONS FOR REPROCESS </t>
  </si>
  <si>
    <t>PROBLEM</t>
  </si>
  <si>
    <t>MTS/ %AGE</t>
  </si>
  <si>
    <t>M/C NAME</t>
  </si>
  <si>
    <t>PRCOCESS DEMAND</t>
  </si>
  <si>
    <t>REPROCESS
MTRS</t>
  </si>
  <si>
    <t>TOTAL
 REPROCESS</t>
  </si>
  <si>
    <t>MR1</t>
  </si>
  <si>
    <t>MR2</t>
  </si>
  <si>
    <t>TOTAL EFF. PROD.</t>
  </si>
  <si>
    <t>RP+PD %</t>
  </si>
  <si>
    <t>RP %</t>
  </si>
  <si>
    <t>Date</t>
  </si>
  <si>
    <t>Total prod.</t>
  </si>
  <si>
    <t>Re-process</t>
  </si>
  <si>
    <t>Effective Production</t>
  </si>
  <si>
    <t xml:space="preserve"> Mtd. prod.</t>
  </si>
  <si>
    <t>Prod. kg</t>
  </si>
  <si>
    <t>Mtd.  prod. kg.</t>
  </si>
  <si>
    <t>Running Hours</t>
  </si>
  <si>
    <t>Mtd. Running Hours</t>
  </si>
  <si>
    <t>Mechnical</t>
  </si>
  <si>
    <t>Machine Cleaning</t>
  </si>
  <si>
    <t>Change Over</t>
  </si>
  <si>
    <t>P.M.</t>
  </si>
  <si>
    <t>No. power</t>
  </si>
  <si>
    <t>No.Steam</t>
  </si>
  <si>
    <t>No. programe</t>
  </si>
  <si>
    <t>Man Power Shortage</t>
  </si>
  <si>
    <t>Mise(Other Opration Faults)</t>
  </si>
  <si>
    <t>Insect problem</t>
  </si>
  <si>
    <t>No. Trolley</t>
  </si>
  <si>
    <t>Total</t>
  </si>
  <si>
    <t>Process Demand</t>
  </si>
  <si>
    <t xml:space="preserve">  XETMA-1 PRODUCTION</t>
  </si>
  <si>
    <t>2nd time</t>
  </si>
  <si>
    <t>Total Rasing</t>
  </si>
  <si>
    <t>PTR</t>
  </si>
  <si>
    <t>MERCERISER-2</t>
  </si>
  <si>
    <t>NPS</t>
  </si>
  <si>
    <t>XETMA 2</t>
  </si>
  <si>
    <t>Lafer-5-Raising</t>
  </si>
  <si>
    <t>Lafer-5-Shearing</t>
  </si>
  <si>
    <t>SOAPER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</si>
</sst>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_ "/>
    <numFmt numFmtId="165" formatCode="0.00_ "/>
    <numFmt numFmtId="166" formatCode="0.0"/>
  </numFmts>
  <fonts count="22">
    <font>
      <sz val="10"/>
      <name val="Arial"/>
      <charset val="134"/>
    </font>
    <font>
      <b/>
      <sz val="10"/>
      <name val="Arial"/>
      <charset val="134"/>
    </font>
    <font>
      <sz val="10"/>
      <color indexed="0"/>
      <name val="Arial"/>
    </font>
    <font>
      <sz val="10"/>
      <name val="Arial"/>
    </font>
    <font>
      <sz val="10"/>
      <color indexed="8"/>
      <name val="Arial"/>
    </font>
    <font>
      <sz val="10"/>
      <color indexed="0"/>
      <name val="Arial"/>
      <charset val="134"/>
    </font>
    <font>
      <b/>
      <sz val="12"/>
      <name val="Times New Roman"/>
      <charset val="134"/>
    </font>
    <font>
      <sz val="10"/>
      <color indexed="8"/>
      <name val="Arial"/>
      <charset val="134"/>
    </font>
    <font>
      <b/>
      <sz val="14"/>
      <name val="Arial"/>
      <charset val="134"/>
    </font>
    <font>
      <b/>
      <sz val="9"/>
      <name val="Arial"/>
      <charset val="134"/>
    </font>
    <font>
      <b/>
      <sz val="11"/>
      <color theme="1"/>
      <name val="Calibri"/>
      <charset val="134"/>
      <scheme val="minor"/>
    </font>
    <font>
      <b/>
      <sz val="12"/>
      <name val="Calibri"/>
      <charset val="134"/>
    </font>
    <font>
      <b/>
      <sz val="9"/>
      <color rgb="FF000000"/>
      <name val="Calibri"/>
      <charset val="134"/>
    </font>
    <font>
      <sz val="10"/>
      <name val="Arial"/>
      <charset val="134"/>
    </font>
    <font>
      <b/>
      <sz val="15"/>
      <name val="Cambria"/>
      <family val="1"/>
      <scheme val="major"/>
    </font>
    <font>
      <sz val="10"/>
      <name val="Cambria"/>
      <family val="1"/>
      <scheme val="major"/>
    </font>
    <font>
      <b/>
      <sz val="12"/>
      <name val="Cambria"/>
      <family val="1"/>
      <scheme val="major"/>
    </font>
    <font>
      <b/>
      <sz val="10"/>
      <name val="Cambria"/>
      <family val="1"/>
      <scheme val="major"/>
    </font>
    <font>
      <sz val="12"/>
      <name val="Cambria"/>
      <family val="1"/>
      <scheme val="major"/>
    </font>
    <font>
      <sz val="12"/>
      <color indexed="9"/>
      <name val="Cambria"/>
      <family val="1"/>
      <scheme val="major"/>
    </font>
    <font>
      <sz val="12"/>
      <color indexed="8"/>
      <name val="Cambria"/>
      <family val="1"/>
      <scheme val="major"/>
    </font>
    <font>
      <b/>
      <sz val="14"/>
      <name val="Cambria"/>
      <family val="1"/>
      <scheme val="major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/>
      <right/>
      <top style="double">
        <color indexed="8"/>
      </top>
      <bottom style="double">
        <color indexed="8"/>
      </bottom>
      <diagonal/>
    </border>
    <border>
      <left/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>
      <alignment vertical="top"/>
    </xf>
    <xf numFmtId="0" fontId="13" fillId="0" borderId="0">
      <alignment vertical="top"/>
    </xf>
    <xf numFmtId="0" fontId="13" fillId="0" borderId="0">
      <alignment vertical="top"/>
    </xf>
    <xf numFmtId="0" fontId="13" fillId="0" borderId="0">
      <alignment vertical="top"/>
    </xf>
  </cellStyleXfs>
  <cellXfs count="208">
    <xf numFmtId="0" fontId="0" fillId="0" borderId="0" xfId="0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/>
      <protection locked="0"/>
    </xf>
    <xf numFmtId="0" fontId="3" fillId="0" borderId="4" xfId="0" applyNumberFormat="1" applyFont="1" applyFill="1" applyBorder="1" applyAlignment="1" applyProtection="1">
      <alignment horizontal="center" vertical="center"/>
      <protection locked="0"/>
    </xf>
    <xf numFmtId="0" fontId="4" fillId="0" borderId="4" xfId="0" applyFont="1" applyFill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7" fontId="1" fillId="2" borderId="4" xfId="0" applyNumberFormat="1" applyFon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2" fillId="0" borderId="4" xfId="0" applyNumberFormat="1" applyFont="1" applyFill="1" applyBorder="1" applyAlignment="1" applyProtection="1">
      <alignment horizontal="center" vertical="center"/>
      <protection locked="0"/>
    </xf>
    <xf numFmtId="165" fontId="5" fillId="0" borderId="4" xfId="0" applyNumberFormat="1" applyFont="1" applyFill="1" applyBorder="1" applyAlignment="1" applyProtection="1">
      <alignment horizontal="center" vertical="center"/>
      <protection locked="0"/>
    </xf>
    <xf numFmtId="165" fontId="0" fillId="2" borderId="5" xfId="0" applyNumberForma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5" fillId="0" borderId="4" xfId="0" applyNumberFormat="1" applyFont="1" applyFill="1" applyBorder="1" applyAlignment="1" applyProtection="1">
      <alignment horizontal="center"/>
      <protection locked="0"/>
    </xf>
    <xf numFmtId="165" fontId="0" fillId="2" borderId="4" xfId="0" applyNumberFormat="1" applyFill="1" applyBorder="1" applyAlignment="1">
      <alignment horizontal="center" vertical="center" wrapText="1"/>
    </xf>
    <xf numFmtId="165" fontId="0" fillId="0" borderId="0" xfId="0" applyNumberFormat="1">
      <alignment vertical="top"/>
    </xf>
    <xf numFmtId="0" fontId="2" fillId="5" borderId="4" xfId="0" applyNumberFormat="1" applyFont="1" applyFill="1" applyBorder="1" applyAlignment="1" applyProtection="1">
      <alignment horizontal="center" vertical="center"/>
      <protection locked="0"/>
    </xf>
    <xf numFmtId="0" fontId="3" fillId="5" borderId="4" xfId="0" applyNumberFormat="1" applyFont="1" applyFill="1" applyBorder="1" applyAlignment="1" applyProtection="1">
      <alignment horizontal="center" vertical="center"/>
      <protection locked="0"/>
    </xf>
    <xf numFmtId="0" fontId="5" fillId="0" borderId="4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>
      <alignment vertical="top"/>
    </xf>
    <xf numFmtId="0" fontId="0" fillId="6" borderId="4" xfId="0" applyFont="1" applyFill="1" applyBorder="1" applyAlignment="1">
      <alignment horizontal="center" vertical="center" wrapText="1"/>
    </xf>
    <xf numFmtId="164" fontId="0" fillId="6" borderId="4" xfId="0" applyNumberFormat="1" applyFont="1" applyFill="1" applyBorder="1" applyAlignment="1">
      <alignment horizontal="center" vertical="center" wrapText="1"/>
    </xf>
    <xf numFmtId="165" fontId="0" fillId="6" borderId="1" xfId="0" applyNumberFormat="1" applyFont="1" applyFill="1" applyBorder="1" applyAlignment="1">
      <alignment horizontal="center" vertical="center" wrapText="1"/>
    </xf>
    <xf numFmtId="0" fontId="0" fillId="6" borderId="0" xfId="0" applyFont="1" applyFill="1">
      <alignment vertical="top"/>
    </xf>
    <xf numFmtId="0" fontId="5" fillId="0" borderId="3" xfId="0" applyNumberFormat="1" applyFont="1" applyFill="1" applyBorder="1" applyAlignment="1" applyProtection="1">
      <alignment horizontal="center" vertical="center"/>
      <protection locked="0"/>
    </xf>
    <xf numFmtId="0" fontId="5" fillId="5" borderId="3" xfId="0" applyNumberFormat="1" applyFont="1" applyFill="1" applyBorder="1" applyAlignment="1" applyProtection="1">
      <alignment horizontal="center" vertical="center"/>
      <protection locked="0"/>
    </xf>
    <xf numFmtId="0" fontId="5" fillId="3" borderId="3" xfId="0" applyNumberFormat="1" applyFont="1" applyFill="1" applyBorder="1" applyAlignment="1" applyProtection="1">
      <alignment horizontal="center" vertical="center"/>
      <protection locked="0"/>
    </xf>
    <xf numFmtId="1" fontId="7" fillId="0" borderId="7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 applyProtection="1">
      <alignment horizontal="center"/>
      <protection locked="0"/>
    </xf>
    <xf numFmtId="0" fontId="5" fillId="0" borderId="4" xfId="0" applyNumberFormat="1" applyFont="1" applyFill="1" applyBorder="1" applyAlignment="1" applyProtection="1">
      <alignment horizontal="center"/>
      <protection locked="0"/>
    </xf>
    <xf numFmtId="16" fontId="0" fillId="6" borderId="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5" fontId="5" fillId="0" borderId="4" xfId="0" applyNumberFormat="1" applyFont="1" applyFill="1" applyBorder="1" applyAlignment="1" applyProtection="1">
      <alignment horizontal="center" vertical="center" wrapText="1"/>
      <protection locked="0"/>
    </xf>
    <xf numFmtId="165" fontId="0" fillId="6" borderId="4" xfId="0" applyNumberFormat="1" applyFont="1" applyFill="1" applyBorder="1" applyAlignment="1">
      <alignment horizontal="center" vertical="center" wrapText="1"/>
    </xf>
    <xf numFmtId="165" fontId="0" fillId="6" borderId="0" xfId="0" applyNumberFormat="1" applyFont="1" applyFill="1">
      <alignment vertical="top"/>
    </xf>
    <xf numFmtId="0" fontId="0" fillId="0" borderId="4" xfId="0" applyBorder="1">
      <alignment vertical="top"/>
    </xf>
    <xf numFmtId="165" fontId="0" fillId="6" borderId="4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>
      <alignment horizontal="center" vertical="center"/>
    </xf>
    <xf numFmtId="164" fontId="2" fillId="0" borderId="4" xfId="0" applyNumberFormat="1" applyFont="1" applyFill="1" applyBorder="1" applyAlignment="1" applyProtection="1">
      <alignment horizontal="center" vertical="center"/>
      <protection locked="0"/>
    </xf>
    <xf numFmtId="1" fontId="3" fillId="0" borderId="10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/>
    </xf>
    <xf numFmtId="164" fontId="2" fillId="5" borderId="4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0" xfId="0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7" fontId="8" fillId="0" borderId="0" xfId="0" applyNumberFormat="1" applyFont="1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7" borderId="4" xfId="0" applyFont="1" applyFill="1" applyBorder="1" applyAlignment="1">
      <alignment horizontal="center"/>
    </xf>
    <xf numFmtId="2" fontId="9" fillId="0" borderId="4" xfId="0" applyNumberFormat="1" applyFont="1" applyFill="1" applyBorder="1" applyAlignment="1">
      <alignment horizontal="center" vertic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top"/>
    </xf>
    <xf numFmtId="164" fontId="0" fillId="0" borderId="4" xfId="0" applyNumberFormat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/>
    </xf>
    <xf numFmtId="0" fontId="9" fillId="7" borderId="4" xfId="0" applyFont="1" applyFill="1" applyBorder="1" applyAlignment="1">
      <alignment horizontal="center" vertical="center"/>
    </xf>
    <xf numFmtId="164" fontId="0" fillId="0" borderId="0" xfId="0" applyNumberFormat="1">
      <alignment vertical="top"/>
    </xf>
    <xf numFmtId="0" fontId="1" fillId="7" borderId="4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1" fontId="1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7" borderId="4" xfId="0" applyFill="1" applyBorder="1" applyAlignment="1">
      <alignment horizontal="center" vertical="center"/>
    </xf>
    <xf numFmtId="164" fontId="0" fillId="7" borderId="4" xfId="0" applyNumberForma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165" fontId="1" fillId="7" borderId="4" xfId="0" applyNumberFormat="1" applyFont="1" applyFill="1" applyBorder="1" applyAlignment="1">
      <alignment horizontal="center" vertical="center"/>
    </xf>
    <xf numFmtId="0" fontId="0" fillId="7" borderId="4" xfId="0" applyFont="1" applyFill="1" applyBorder="1" applyAlignment="1">
      <alignment horizontal="center"/>
    </xf>
    <xf numFmtId="0" fontId="10" fillId="0" borderId="4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1" fillId="10" borderId="4" xfId="0" applyFont="1" applyFill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165" fontId="0" fillId="0" borderId="4" xfId="0" applyNumberFormat="1" applyBorder="1" applyAlignment="1">
      <alignment horizontal="center" vertical="top"/>
    </xf>
    <xf numFmtId="0" fontId="0" fillId="0" borderId="0" xfId="0" applyNumberFormat="1">
      <alignment vertical="top"/>
    </xf>
    <xf numFmtId="0" fontId="1" fillId="0" borderId="1" xfId="0" applyFont="1" applyBorder="1" applyAlignment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/>
      <protection locked="0"/>
    </xf>
    <xf numFmtId="0" fontId="1" fillId="0" borderId="27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1" fontId="1" fillId="0" borderId="27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12" borderId="6" xfId="0" applyFont="1" applyFill="1" applyBorder="1" applyAlignment="1">
      <alignment horizontal="center" vertical="center" wrapText="1"/>
    </xf>
    <xf numFmtId="0" fontId="16" fillId="13" borderId="6" xfId="0" applyFont="1" applyFill="1" applyBorder="1" applyAlignment="1">
      <alignment horizontal="center" vertical="center" wrapText="1"/>
    </xf>
    <xf numFmtId="0" fontId="17" fillId="13" borderId="6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16" fillId="14" borderId="6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8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8" fillId="5" borderId="11" xfId="0" applyFont="1" applyFill="1" applyBorder="1" applyAlignment="1">
      <alignment horizontal="center" vertical="center"/>
    </xf>
    <xf numFmtId="0" fontId="18" fillId="5" borderId="13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1" fontId="18" fillId="0" borderId="10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2" fontId="18" fillId="7" borderId="10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/>
    </xf>
    <xf numFmtId="1" fontId="16" fillId="0" borderId="10" xfId="0" applyNumberFormat="1" applyFont="1" applyBorder="1" applyAlignment="1">
      <alignment horizontal="center" vertical="center"/>
    </xf>
    <xf numFmtId="2" fontId="16" fillId="7" borderId="10" xfId="0" applyNumberFormat="1" applyFont="1" applyFill="1" applyBorder="1" applyAlignment="1">
      <alignment horizontal="center" vertical="center"/>
    </xf>
    <xf numFmtId="2" fontId="16" fillId="5" borderId="10" xfId="0" applyNumberFormat="1" applyFont="1" applyFill="1" applyBorder="1" applyAlignment="1">
      <alignment horizontal="center" vertical="center"/>
    </xf>
    <xf numFmtId="0" fontId="16" fillId="15" borderId="10" xfId="0" applyFont="1" applyFill="1" applyBorder="1" applyAlignment="1">
      <alignment horizontal="center" vertical="center"/>
    </xf>
    <xf numFmtId="2" fontId="16" fillId="15" borderId="10" xfId="0" applyNumberFormat="1" applyFont="1" applyFill="1" applyBorder="1" applyAlignment="1">
      <alignment horizontal="center" vertical="center"/>
    </xf>
    <xf numFmtId="166" fontId="18" fillId="0" borderId="10" xfId="0" applyNumberFormat="1" applyFont="1" applyBorder="1" applyAlignment="1">
      <alignment horizontal="center" vertical="center"/>
    </xf>
    <xf numFmtId="166" fontId="15" fillId="0" borderId="10" xfId="0" applyNumberFormat="1" applyFont="1" applyBorder="1" applyAlignment="1">
      <alignment horizontal="center" vertical="center"/>
    </xf>
    <xf numFmtId="166" fontId="16" fillId="0" borderId="10" xfId="0" applyNumberFormat="1" applyFont="1" applyBorder="1" applyAlignment="1">
      <alignment horizontal="center" vertical="center"/>
    </xf>
    <xf numFmtId="166" fontId="15" fillId="7" borderId="10" xfId="0" applyNumberFormat="1" applyFont="1" applyFill="1" applyBorder="1" applyAlignment="1">
      <alignment horizontal="center" vertical="center"/>
    </xf>
    <xf numFmtId="166" fontId="15" fillId="5" borderId="10" xfId="0" applyNumberFormat="1" applyFont="1" applyFill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0" fontId="16" fillId="11" borderId="10" xfId="0" applyFont="1" applyFill="1" applyBorder="1" applyAlignment="1">
      <alignment horizontal="center" vertical="center"/>
    </xf>
    <xf numFmtId="166" fontId="16" fillId="11" borderId="10" xfId="0" applyNumberFormat="1" applyFont="1" applyFill="1" applyBorder="1" applyAlignment="1">
      <alignment horizontal="center" vertical="center"/>
    </xf>
    <xf numFmtId="166" fontId="17" fillId="11" borderId="10" xfId="0" applyNumberFormat="1" applyFont="1" applyFill="1" applyBorder="1" applyAlignment="1">
      <alignment horizontal="center" vertical="center"/>
    </xf>
    <xf numFmtId="166" fontId="18" fillId="11" borderId="10" xfId="0" applyNumberFormat="1" applyFont="1" applyFill="1" applyBorder="1" applyAlignment="1">
      <alignment horizontal="center" vertical="center"/>
    </xf>
    <xf numFmtId="2" fontId="17" fillId="11" borderId="10" xfId="0" applyNumberFormat="1" applyFont="1" applyFill="1" applyBorder="1" applyAlignment="1">
      <alignment horizontal="center" vertical="center"/>
    </xf>
    <xf numFmtId="2" fontId="16" fillId="11" borderId="10" xfId="0" applyNumberFormat="1" applyFont="1" applyFill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 vertical="center"/>
    </xf>
    <xf numFmtId="166" fontId="18" fillId="7" borderId="10" xfId="0" applyNumberFormat="1" applyFont="1" applyFill="1" applyBorder="1" applyAlignment="1">
      <alignment horizontal="center" vertical="center"/>
    </xf>
    <xf numFmtId="166" fontId="18" fillId="5" borderId="10" xfId="0" applyNumberFormat="1" applyFont="1" applyFill="1" applyBorder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166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1" fontId="16" fillId="11" borderId="10" xfId="0" applyNumberFormat="1" applyFont="1" applyFill="1" applyBorder="1" applyAlignment="1">
      <alignment horizontal="center" vertical="center"/>
    </xf>
    <xf numFmtId="2" fontId="18" fillId="0" borderId="12" xfId="0" applyNumberFormat="1" applyFont="1" applyBorder="1" applyAlignment="1">
      <alignment horizontal="center" vertical="center"/>
    </xf>
    <xf numFmtId="2" fontId="18" fillId="0" borderId="7" xfId="0" applyNumberFormat="1" applyFont="1" applyBorder="1" applyAlignment="1">
      <alignment horizontal="center" vertical="center"/>
    </xf>
    <xf numFmtId="2" fontId="18" fillId="5" borderId="7" xfId="0" applyNumberFormat="1" applyFont="1" applyFill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/>
    </xf>
    <xf numFmtId="1" fontId="18" fillId="0" borderId="7" xfId="0" applyNumberFormat="1" applyFont="1" applyBorder="1" applyAlignment="1">
      <alignment horizontal="center" vertical="center"/>
    </xf>
    <xf numFmtId="1" fontId="18" fillId="5" borderId="7" xfId="0" applyNumberFormat="1" applyFont="1" applyFill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 wrapText="1"/>
    </xf>
    <xf numFmtId="2" fontId="16" fillId="0" borderId="10" xfId="0" applyNumberFormat="1" applyFont="1" applyBorder="1" applyAlignment="1">
      <alignment horizontal="center" vertical="center" wrapText="1"/>
    </xf>
    <xf numFmtId="2" fontId="18" fillId="7" borderId="10" xfId="0" applyNumberFormat="1" applyFont="1" applyFill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18" fillId="0" borderId="3" xfId="0" applyNumberFormat="1" applyFont="1" applyBorder="1" applyAlignment="1">
      <alignment horizontal="center" vertical="center" wrapText="1"/>
    </xf>
    <xf numFmtId="2" fontId="19" fillId="5" borderId="10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18" fillId="0" borderId="4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9" fillId="5" borderId="10" xfId="0" applyNumberFormat="1" applyFont="1" applyFill="1" applyBorder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2" fontId="18" fillId="7" borderId="0" xfId="0" applyNumberFormat="1" applyFont="1" applyFill="1" applyAlignment="1">
      <alignment horizontal="center" vertical="center"/>
    </xf>
    <xf numFmtId="2" fontId="18" fillId="5" borderId="0" xfId="0" applyNumberFormat="1" applyFont="1" applyFill="1" applyAlignment="1">
      <alignment horizontal="center" vertical="center"/>
    </xf>
    <xf numFmtId="2" fontId="18" fillId="0" borderId="8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2" fontId="18" fillId="0" borderId="14" xfId="0" applyNumberFormat="1" applyFont="1" applyBorder="1" applyAlignment="1">
      <alignment horizontal="center" vertical="center"/>
    </xf>
    <xf numFmtId="2" fontId="18" fillId="11" borderId="10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15" fillId="7" borderId="0" xfId="0" applyNumberFormat="1" applyFon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2" fontId="17" fillId="9" borderId="15" xfId="0" applyNumberFormat="1" applyFont="1" applyFill="1" applyBorder="1" applyAlignment="1">
      <alignment horizontal="center" vertical="center"/>
    </xf>
    <xf numFmtId="2" fontId="17" fillId="9" borderId="16" xfId="0" applyNumberFormat="1" applyFont="1" applyFill="1" applyBorder="1" applyAlignment="1">
      <alignment horizontal="center" vertical="center" wrapText="1"/>
    </xf>
    <xf numFmtId="0" fontId="21" fillId="5" borderId="0" xfId="0" applyFont="1" applyFill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1" fontId="17" fillId="0" borderId="12" xfId="0" applyNumberFormat="1" applyFont="1" applyBorder="1" applyAlignment="1">
      <alignment horizontal="center" vertical="center"/>
    </xf>
    <xf numFmtId="1" fontId="17" fillId="0" borderId="18" xfId="0" applyNumberFormat="1" applyFont="1" applyBorder="1" applyAlignment="1">
      <alignment horizontal="center" vertical="center"/>
    </xf>
    <xf numFmtId="1" fontId="15" fillId="5" borderId="0" xfId="0" applyNumberFormat="1" applyFont="1" applyFill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1" fontId="17" fillId="0" borderId="20" xfId="0" applyNumberFormat="1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" fontId="17" fillId="0" borderId="21" xfId="0" applyNumberFormat="1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1" fontId="17" fillId="0" borderId="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4" fillId="11" borderId="6" xfId="0" applyFont="1" applyFill="1" applyBorder="1" applyAlignment="1">
      <alignment horizontal="center" vertical="center"/>
    </xf>
    <xf numFmtId="0" fontId="15" fillId="11" borderId="23" xfId="0" applyFont="1" applyFill="1" applyBorder="1" applyAlignment="1"/>
    <xf numFmtId="0" fontId="15" fillId="11" borderId="24" xfId="0" applyFont="1" applyFill="1" applyBorder="1" applyAlignment="1"/>
    <xf numFmtId="0" fontId="1" fillId="2" borderId="27" xfId="0" applyFont="1" applyFill="1" applyBorder="1" applyAlignment="1">
      <alignment horizontal="center" vertical="center" wrapText="1"/>
    </xf>
    <xf numFmtId="17" fontId="1" fillId="2" borderId="27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4">
    <cellStyle name="Normal" xfId="0" builtinId="0"/>
    <cellStyle name="Normal 2 11" xfId="1"/>
    <cellStyle name="Normal 254" xfId="3"/>
    <cellStyle name="Normal 4" xfId="2"/>
  </cellStyles>
  <dxfs count="0"/>
  <tableStyles count="0" defaultTableStyle="TableStyleMedium2"/>
  <colors>
    <mruColors>
      <color rgb="FFFFC000"/>
      <color rgb="FFFFFF00"/>
      <color rgb="FFFF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133350</xdr:colOff>
      <xdr:row>0</xdr:row>
      <xdr:rowOff>28575</xdr:rowOff>
    </xdr:from>
    <xdr:to>
      <xdr:col>18</xdr:col>
      <xdr:colOff>676275</xdr:colOff>
      <xdr:row>1</xdr:row>
      <xdr:rowOff>66675</xdr:rowOff>
    </xdr:to>
    <xdr:pic>
      <xdr:nvPicPr>
        <xdr:cNvPr id="3" name="Picture 1" descr="picture1_0"/>
        <xdr:cNvPicPr>
          <a:picLocks noChangeAspect="1"/>
        </xdr:cNvPicPr>
      </xdr:nvPicPr>
      <xdr:blipFill>
        <a:blip xmlns:r="http://schemas.openxmlformats.org/officeDocument/2006/relationships" r:embed="rId1">
          <a:lum/>
        </a:blip>
        <a:stretch>
          <a:fillRect/>
        </a:stretch>
      </xdr:blipFill>
      <xdr:spPr>
        <a:xfrm>
          <a:off x="18364200" y="28575"/>
          <a:ext cx="676275" cy="58356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17</xdr:col>
      <xdr:colOff>133350</xdr:colOff>
      <xdr:row>0</xdr:row>
      <xdr:rowOff>28575</xdr:rowOff>
    </xdr:from>
    <xdr:to>
      <xdr:col>18</xdr:col>
      <xdr:colOff>676275</xdr:colOff>
      <xdr:row>1</xdr:row>
      <xdr:rowOff>66675</xdr:rowOff>
    </xdr:to>
    <xdr:pic>
      <xdr:nvPicPr>
        <xdr:cNvPr id="4" name="Picture 1" descr="picture1_0"/>
        <xdr:cNvPicPr>
          <a:picLocks noChangeAspect="1"/>
        </xdr:cNvPicPr>
      </xdr:nvPicPr>
      <xdr:blipFill>
        <a:blip xmlns:r="http://schemas.openxmlformats.org/officeDocument/2006/relationships" r:embed="rId1">
          <a:lum/>
        </a:blip>
        <a:stretch>
          <a:fillRect/>
        </a:stretch>
      </xdr:blipFill>
      <xdr:spPr>
        <a:xfrm>
          <a:off x="18364200" y="28575"/>
          <a:ext cx="676275" cy="58356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39</xdr:col>
      <xdr:colOff>133350</xdr:colOff>
      <xdr:row>0</xdr:row>
      <xdr:rowOff>28575</xdr:rowOff>
    </xdr:from>
    <xdr:to>
      <xdr:col>39</xdr:col>
      <xdr:colOff>809625</xdr:colOff>
      <xdr:row>1</xdr:row>
      <xdr:rowOff>66675</xdr:rowOff>
    </xdr:to>
    <xdr:pic>
      <xdr:nvPicPr>
        <xdr:cNvPr id="5" name="Picture 1" descr="picture1_0"/>
        <xdr:cNvPicPr>
          <a:picLocks noChangeAspect="1"/>
        </xdr:cNvPicPr>
      </xdr:nvPicPr>
      <xdr:blipFill>
        <a:blip xmlns:r="http://schemas.openxmlformats.org/officeDocument/2006/relationships" r:embed="rId1">
          <a:lum/>
        </a:blip>
        <a:stretch>
          <a:fillRect/>
        </a:stretch>
      </xdr:blipFill>
      <xdr:spPr>
        <a:xfrm>
          <a:off x="38928675" y="28575"/>
          <a:ext cx="676275" cy="58356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  <xdr:twoCellAnchor editAs="oneCell">
    <xdr:from>
      <xdr:col>39</xdr:col>
      <xdr:colOff>133350</xdr:colOff>
      <xdr:row>0</xdr:row>
      <xdr:rowOff>28575</xdr:rowOff>
    </xdr:from>
    <xdr:to>
      <xdr:col>39</xdr:col>
      <xdr:colOff>809625</xdr:colOff>
      <xdr:row>1</xdr:row>
      <xdr:rowOff>66675</xdr:rowOff>
    </xdr:to>
    <xdr:pic>
      <xdr:nvPicPr>
        <xdr:cNvPr id="6" name="Picture 3" descr="picture1_0"/>
        <xdr:cNvPicPr>
          <a:picLocks noChangeAspect="1"/>
        </xdr:cNvPicPr>
      </xdr:nvPicPr>
      <xdr:blipFill>
        <a:blip xmlns:r="http://schemas.openxmlformats.org/officeDocument/2006/relationships" r:embed="rId1">
          <a:lum/>
        </a:blip>
        <a:stretch>
          <a:fillRect/>
        </a:stretch>
      </xdr:blipFill>
      <xdr:spPr>
        <a:xfrm>
          <a:off x="38928675" y="28575"/>
          <a:ext cx="676275" cy="583565"/>
        </a:xfrm>
        <a:prstGeom prst="rect">
          <a:avLst/>
        </a:prstGeom>
        <a:noFill/>
        <a:ln w="9525">
          <a:noFill/>
          <a:miter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ownloads/AT1_Preparatory_Report_2025-05-13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 SHEET   (2)"/>
      <sheetName val="FRONT PAGE"/>
      <sheetName val="XETMA-1"/>
      <sheetName val="Osthoff-1"/>
      <sheetName val="Osthoff-2"/>
      <sheetName val="PTR"/>
      <sheetName val="Perble"/>
      <sheetName val="Merceriser-1"/>
      <sheetName val="Merceriser-2"/>
      <sheetName val="NPS"/>
      <sheetName val="Soaper"/>
      <sheetName val="Xetma-2"/>
      <sheetName val="Xetma-3"/>
      <sheetName val="Lafer-1"/>
      <sheetName val="Lafer-2"/>
      <sheetName val="Lafer-3"/>
      <sheetName val="Lafer-4"/>
      <sheetName val="Lafer-5-Raising"/>
      <sheetName val="Lafer-5-Shearing"/>
      <sheetName val="Batcher-1"/>
      <sheetName val="Batcher-2"/>
      <sheetName val="Swast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5">
          <cell r="C35">
            <v>0</v>
          </cell>
        </row>
      </sheetData>
      <sheetData sheetId="8">
        <row r="35">
          <cell r="C35">
            <v>1766.9449999999999</v>
          </cell>
        </row>
      </sheetData>
      <sheetData sheetId="9">
        <row r="35">
          <cell r="Q35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topLeftCell="A69" zoomScale="85" zoomScaleNormal="85" workbookViewId="0">
      <selection activeCell="F60" sqref="F60"/>
    </sheetView>
  </sheetViews>
  <sheetFormatPr defaultColWidth="9.140625" defaultRowHeight="12.75"/>
  <cols>
    <col min="1" max="1" width="32.85546875" customWidth="1"/>
    <col min="2" max="2" width="11.28515625" customWidth="1"/>
    <col min="3" max="3" width="37.140625" customWidth="1"/>
    <col min="4" max="4" width="21.140625" customWidth="1"/>
    <col min="5" max="5" width="12.85546875"/>
  </cols>
  <sheetData>
    <row r="1" spans="1:5">
      <c r="A1" s="54" t="s">
        <v>0</v>
      </c>
      <c r="B1" s="55">
        <v>244.57</v>
      </c>
      <c r="C1" s="56"/>
      <c r="D1" s="40" t="s">
        <v>1</v>
      </c>
    </row>
    <row r="2" spans="1:5">
      <c r="A2" s="57"/>
      <c r="B2" s="58"/>
      <c r="C2" s="56"/>
      <c r="D2" s="58"/>
    </row>
    <row r="3" spans="1:5" ht="18">
      <c r="A3" s="59" t="s">
        <v>2</v>
      </c>
      <c r="B3" s="60">
        <v>44593</v>
      </c>
      <c r="C3" s="56"/>
      <c r="D3" s="61"/>
    </row>
    <row r="4" spans="1:5" ht="18">
      <c r="A4" s="199" t="s">
        <v>3</v>
      </c>
      <c r="B4" s="199"/>
      <c r="C4" s="199"/>
      <c r="D4" s="199"/>
    </row>
    <row r="5" spans="1:5">
      <c r="A5" s="62" t="s">
        <v>4</v>
      </c>
      <c r="B5" s="62" t="s">
        <v>5</v>
      </c>
      <c r="C5" s="62" t="s">
        <v>6</v>
      </c>
      <c r="D5" s="62" t="s">
        <v>7</v>
      </c>
    </row>
    <row r="6" spans="1:5">
      <c r="A6" s="63" t="s">
        <v>8</v>
      </c>
      <c r="B6" s="64">
        <v>88.36</v>
      </c>
      <c r="C6" s="65">
        <v>950</v>
      </c>
      <c r="D6" s="53">
        <f t="shared" ref="D6:D19" si="0">+B6*C6</f>
        <v>83942</v>
      </c>
    </row>
    <row r="7" spans="1:5">
      <c r="A7" s="63" t="s">
        <v>9</v>
      </c>
      <c r="B7" s="64">
        <v>67.95</v>
      </c>
      <c r="C7" s="65">
        <v>461</v>
      </c>
      <c r="D7" s="53">
        <f t="shared" si="0"/>
        <v>31324.95</v>
      </c>
    </row>
    <row r="8" spans="1:5" hidden="1">
      <c r="A8" s="62" t="s">
        <v>10</v>
      </c>
      <c r="B8" s="66">
        <v>35.200000000000003</v>
      </c>
      <c r="C8" s="65"/>
      <c r="D8" s="67">
        <f t="shared" si="0"/>
        <v>0</v>
      </c>
    </row>
    <row r="9" spans="1:5">
      <c r="A9" s="63" t="s">
        <v>11</v>
      </c>
      <c r="B9" s="64">
        <v>120.74</v>
      </c>
      <c r="C9" s="68">
        <v>160</v>
      </c>
      <c r="D9" s="53">
        <f t="shared" si="0"/>
        <v>19318.399999999998</v>
      </c>
    </row>
    <row r="10" spans="1:5">
      <c r="A10" s="63" t="s">
        <v>12</v>
      </c>
      <c r="B10" s="64">
        <v>216.74</v>
      </c>
      <c r="C10" s="68">
        <v>60</v>
      </c>
      <c r="D10" s="53">
        <f t="shared" si="0"/>
        <v>13004.400000000001</v>
      </c>
    </row>
    <row r="11" spans="1:5" hidden="1">
      <c r="A11" s="63" t="s">
        <v>13</v>
      </c>
      <c r="B11" s="64">
        <v>80.75</v>
      </c>
      <c r="C11" s="65"/>
      <c r="D11" s="53">
        <f t="shared" si="0"/>
        <v>0</v>
      </c>
    </row>
    <row r="12" spans="1:5" hidden="1">
      <c r="A12" s="63" t="s">
        <v>14</v>
      </c>
      <c r="B12" s="64">
        <v>92</v>
      </c>
      <c r="C12" s="65"/>
      <c r="D12" s="67">
        <f t="shared" si="0"/>
        <v>0</v>
      </c>
    </row>
    <row r="13" spans="1:5">
      <c r="A13" s="63" t="s">
        <v>15</v>
      </c>
      <c r="B13" s="64">
        <v>184.21</v>
      </c>
      <c r="C13" s="65">
        <v>3900</v>
      </c>
      <c r="D13" s="53">
        <f t="shared" si="0"/>
        <v>718419</v>
      </c>
    </row>
    <row r="14" spans="1:5">
      <c r="A14" s="63" t="s">
        <v>16</v>
      </c>
      <c r="B14" s="64">
        <v>215.52</v>
      </c>
      <c r="C14" s="65">
        <f>3700-2988</f>
        <v>712</v>
      </c>
      <c r="D14" s="53">
        <f t="shared" si="0"/>
        <v>153450.24000000002</v>
      </c>
    </row>
    <row r="15" spans="1:5">
      <c r="A15" s="69" t="s">
        <v>17</v>
      </c>
      <c r="B15" s="64">
        <v>24.55</v>
      </c>
      <c r="C15" s="65">
        <f>39615-17583-2000</f>
        <v>20032</v>
      </c>
      <c r="D15" s="53">
        <f t="shared" si="0"/>
        <v>491785.60000000003</v>
      </c>
      <c r="E15" s="70"/>
    </row>
    <row r="16" spans="1:5" ht="25.5" hidden="1">
      <c r="A16" s="71" t="s">
        <v>18</v>
      </c>
      <c r="B16" s="64">
        <v>52.2</v>
      </c>
      <c r="C16" s="65"/>
      <c r="D16" s="53">
        <f t="shared" si="0"/>
        <v>0</v>
      </c>
    </row>
    <row r="17" spans="1:4">
      <c r="A17" s="69" t="s">
        <v>19</v>
      </c>
      <c r="B17" s="64">
        <v>24.51</v>
      </c>
      <c r="C17" s="65">
        <f>13749+5000+1000</f>
        <v>19749</v>
      </c>
      <c r="D17" s="53">
        <f t="shared" si="0"/>
        <v>484047.99000000005</v>
      </c>
    </row>
    <row r="18" spans="1:4">
      <c r="A18" s="69" t="s">
        <v>20</v>
      </c>
      <c r="B18" s="64">
        <v>68.349999999999994</v>
      </c>
      <c r="C18" s="65">
        <v>50</v>
      </c>
      <c r="D18" s="53">
        <f t="shared" si="0"/>
        <v>3417.4999999999995</v>
      </c>
    </row>
    <row r="19" spans="1:4">
      <c r="A19" s="69" t="s">
        <v>21</v>
      </c>
      <c r="B19" s="64">
        <v>105.6</v>
      </c>
      <c r="C19" s="67">
        <f>12700-7332</f>
        <v>5368</v>
      </c>
      <c r="D19" s="53">
        <f t="shared" si="0"/>
        <v>566860.79999999993</v>
      </c>
    </row>
    <row r="20" spans="1:4">
      <c r="A20" s="72"/>
      <c r="B20" s="72"/>
      <c r="C20" s="62" t="s">
        <v>22</v>
      </c>
      <c r="D20" s="73">
        <f>SUM(D6:D19)</f>
        <v>2565570.88</v>
      </c>
    </row>
    <row r="21" spans="1:4">
      <c r="A21" s="72"/>
      <c r="B21" s="72"/>
      <c r="C21" s="62" t="s">
        <v>23</v>
      </c>
      <c r="D21" s="74">
        <v>1591548</v>
      </c>
    </row>
    <row r="22" spans="1:4">
      <c r="A22" s="72"/>
      <c r="B22" s="72"/>
      <c r="C22" s="62" t="s">
        <v>24</v>
      </c>
      <c r="D22" s="74">
        <f>+D21*$B$1/1000</f>
        <v>389244.89436000003</v>
      </c>
    </row>
    <row r="23" spans="1:4">
      <c r="A23" s="72"/>
      <c r="B23" s="72"/>
      <c r="C23" s="62" t="s">
        <v>25</v>
      </c>
      <c r="D23" s="75">
        <f>+D20/D22</f>
        <v>6.591148444524455</v>
      </c>
    </row>
    <row r="24" spans="1:4">
      <c r="A24" s="76"/>
      <c r="B24" s="76"/>
      <c r="C24" s="56"/>
      <c r="D24" s="56"/>
    </row>
    <row r="25" spans="1:4">
      <c r="A25" s="76"/>
      <c r="B25" s="76"/>
      <c r="C25" s="56"/>
      <c r="D25" s="56"/>
    </row>
    <row r="26" spans="1:4" ht="18">
      <c r="A26" s="199" t="s">
        <v>26</v>
      </c>
      <c r="B26" s="199"/>
      <c r="C26" s="199"/>
      <c r="D26" s="199"/>
    </row>
    <row r="27" spans="1:4">
      <c r="A27" s="69" t="s">
        <v>27</v>
      </c>
      <c r="B27" s="64" t="s">
        <v>28</v>
      </c>
      <c r="C27" s="74" t="s">
        <v>6</v>
      </c>
      <c r="D27" s="74" t="s">
        <v>7</v>
      </c>
    </row>
    <row r="28" spans="1:4">
      <c r="A28" s="69" t="s">
        <v>29</v>
      </c>
      <c r="B28" s="64">
        <v>24.51</v>
      </c>
      <c r="C28" s="67">
        <f>74380-13749-5000-1000</f>
        <v>54631</v>
      </c>
      <c r="D28" s="67">
        <f t="shared" ref="D28:D36" si="1">+B28*C28</f>
        <v>1339005.81</v>
      </c>
    </row>
    <row r="29" spans="1:4">
      <c r="A29" s="63" t="s">
        <v>16</v>
      </c>
      <c r="B29" s="64">
        <v>215.52</v>
      </c>
      <c r="C29" s="67">
        <v>2988</v>
      </c>
      <c r="D29" s="67">
        <f t="shared" si="1"/>
        <v>643973.76</v>
      </c>
    </row>
    <row r="30" spans="1:4">
      <c r="A30" s="63" t="s">
        <v>9</v>
      </c>
      <c r="B30" s="64">
        <v>67.95</v>
      </c>
      <c r="C30" s="65">
        <f>1600-461</f>
        <v>1139</v>
      </c>
      <c r="D30" s="67">
        <f t="shared" si="1"/>
        <v>77395.05</v>
      </c>
    </row>
    <row r="31" spans="1:4">
      <c r="A31" s="69" t="s">
        <v>17</v>
      </c>
      <c r="B31" s="64">
        <v>24.55</v>
      </c>
      <c r="C31" s="65">
        <f>17583+2000</f>
        <v>19583</v>
      </c>
      <c r="D31" s="67">
        <f t="shared" si="1"/>
        <v>480762.65</v>
      </c>
    </row>
    <row r="32" spans="1:4" ht="25.5" hidden="1">
      <c r="A32" s="71" t="s">
        <v>18</v>
      </c>
      <c r="B32" s="64">
        <v>32</v>
      </c>
      <c r="C32" s="72"/>
      <c r="D32" s="67">
        <f t="shared" si="1"/>
        <v>0</v>
      </c>
    </row>
    <row r="33" spans="1:5">
      <c r="A33" s="69" t="s">
        <v>30</v>
      </c>
      <c r="B33" s="64">
        <v>105.6</v>
      </c>
      <c r="C33" s="65">
        <v>7332</v>
      </c>
      <c r="D33" s="67">
        <f t="shared" si="1"/>
        <v>774259.19999999995</v>
      </c>
    </row>
    <row r="34" spans="1:5" hidden="1">
      <c r="A34" s="63" t="s">
        <v>31</v>
      </c>
      <c r="B34" s="64">
        <v>87.75</v>
      </c>
      <c r="C34" s="67"/>
      <c r="D34" s="67">
        <f t="shared" si="1"/>
        <v>0</v>
      </c>
    </row>
    <row r="35" spans="1:5" hidden="1">
      <c r="A35" s="63" t="s">
        <v>15</v>
      </c>
      <c r="B35" s="64">
        <v>163.75</v>
      </c>
      <c r="C35" s="65"/>
      <c r="D35" s="67">
        <f t="shared" si="1"/>
        <v>0</v>
      </c>
    </row>
    <row r="36" spans="1:5">
      <c r="A36" s="63" t="s">
        <v>32</v>
      </c>
      <c r="B36" s="77">
        <v>222.7</v>
      </c>
      <c r="C36" s="67">
        <v>3500</v>
      </c>
      <c r="D36" s="67">
        <f t="shared" si="1"/>
        <v>779450</v>
      </c>
    </row>
    <row r="37" spans="1:5">
      <c r="A37" s="51"/>
      <c r="B37" s="51"/>
      <c r="C37" s="62" t="s">
        <v>22</v>
      </c>
      <c r="D37" s="74">
        <f>SUM(D28:D36)</f>
        <v>4094846.4699999997</v>
      </c>
    </row>
    <row r="38" spans="1:5">
      <c r="A38" s="51"/>
      <c r="B38" s="51"/>
      <c r="C38" s="62" t="s">
        <v>33</v>
      </c>
      <c r="D38" s="74">
        <v>2437894</v>
      </c>
    </row>
    <row r="39" spans="1:5">
      <c r="A39" s="51"/>
      <c r="B39" s="51"/>
      <c r="C39" s="62" t="s">
        <v>34</v>
      </c>
      <c r="D39" s="74">
        <f>+D38*$B$1/1000</f>
        <v>596235.7355800001</v>
      </c>
    </row>
    <row r="40" spans="1:5">
      <c r="A40" s="51"/>
      <c r="B40" s="51"/>
      <c r="C40" s="62" t="s">
        <v>25</v>
      </c>
      <c r="D40" s="75">
        <f>+(D37)/D39</f>
        <v>6.8678313385839864</v>
      </c>
    </row>
    <row r="41" spans="1:5">
      <c r="A41" s="76"/>
      <c r="B41" s="76"/>
      <c r="C41" s="56"/>
      <c r="D41" s="56"/>
    </row>
    <row r="42" spans="1:5">
      <c r="A42" s="76"/>
      <c r="B42" s="76"/>
      <c r="C42" s="78" t="s">
        <v>35</v>
      </c>
      <c r="D42" s="79">
        <f t="shared" ref="D42:D44" si="2">+D37+D20</f>
        <v>6660417.3499999996</v>
      </c>
    </row>
    <row r="43" spans="1:5">
      <c r="A43" s="76"/>
      <c r="B43" s="76"/>
      <c r="C43" s="80" t="s">
        <v>36</v>
      </c>
      <c r="D43" s="79">
        <f t="shared" si="2"/>
        <v>4029442</v>
      </c>
    </row>
    <row r="44" spans="1:5">
      <c r="A44" s="76"/>
      <c r="B44" s="76"/>
      <c r="C44" s="80" t="s">
        <v>37</v>
      </c>
      <c r="D44" s="79">
        <f t="shared" si="2"/>
        <v>985480.62994000013</v>
      </c>
    </row>
    <row r="45" spans="1:5">
      <c r="A45" s="76"/>
      <c r="B45" s="76"/>
      <c r="C45" s="62" t="s">
        <v>25</v>
      </c>
      <c r="D45" s="81">
        <f>+D42/D44</f>
        <v>6.7585471978333169</v>
      </c>
      <c r="E45" s="24"/>
    </row>
    <row r="46" spans="1:5">
      <c r="A46" s="76"/>
      <c r="B46" s="76"/>
      <c r="C46" s="56"/>
      <c r="D46" s="56"/>
    </row>
    <row r="47" spans="1:5" ht="18">
      <c r="A47" s="199" t="s">
        <v>38</v>
      </c>
      <c r="B47" s="199"/>
      <c r="C47" s="199"/>
      <c r="D47" s="199"/>
    </row>
    <row r="48" spans="1:5">
      <c r="A48" s="69" t="s">
        <v>27</v>
      </c>
      <c r="B48" s="64" t="s">
        <v>28</v>
      </c>
      <c r="C48" s="74" t="s">
        <v>6</v>
      </c>
      <c r="D48" s="74" t="s">
        <v>7</v>
      </c>
    </row>
    <row r="49" spans="1:4">
      <c r="A49" s="69" t="s">
        <v>11</v>
      </c>
      <c r="B49" s="64">
        <v>120.74</v>
      </c>
      <c r="C49" s="67">
        <v>250</v>
      </c>
      <c r="D49" s="67">
        <f t="shared" ref="D49:D54" si="3">+B49*C49</f>
        <v>30185</v>
      </c>
    </row>
    <row r="50" spans="1:4">
      <c r="A50" s="63" t="s">
        <v>12</v>
      </c>
      <c r="B50" s="64">
        <v>216.74</v>
      </c>
      <c r="C50" s="67">
        <v>250</v>
      </c>
      <c r="D50" s="67">
        <f t="shared" si="3"/>
        <v>54185</v>
      </c>
    </row>
    <row r="51" spans="1:4">
      <c r="A51" s="63" t="s">
        <v>16</v>
      </c>
      <c r="B51" s="64">
        <v>215.52</v>
      </c>
      <c r="C51" s="82">
        <v>40</v>
      </c>
      <c r="D51" s="67">
        <f t="shared" si="3"/>
        <v>8620.8000000000011</v>
      </c>
    </row>
    <row r="52" spans="1:4">
      <c r="A52" s="69" t="s">
        <v>20</v>
      </c>
      <c r="B52" s="64">
        <v>68.349999999999994</v>
      </c>
      <c r="C52" s="82">
        <v>60</v>
      </c>
      <c r="D52" s="67">
        <f t="shared" si="3"/>
        <v>4101</v>
      </c>
    </row>
    <row r="53" spans="1:4" ht="15" hidden="1">
      <c r="A53" s="83" t="s">
        <v>39</v>
      </c>
      <c r="B53" s="64">
        <v>75</v>
      </c>
      <c r="C53" s="82">
        <v>0</v>
      </c>
      <c r="D53" s="67">
        <f t="shared" si="3"/>
        <v>0</v>
      </c>
    </row>
    <row r="54" spans="1:4">
      <c r="A54" s="84" t="s">
        <v>15</v>
      </c>
      <c r="B54" s="64">
        <v>184.21</v>
      </c>
      <c r="C54" s="67">
        <v>50</v>
      </c>
      <c r="D54" s="67">
        <f t="shared" si="3"/>
        <v>9210.5</v>
      </c>
    </row>
    <row r="55" spans="1:4">
      <c r="A55" s="76"/>
      <c r="B55" s="76"/>
      <c r="C55" s="62" t="s">
        <v>22</v>
      </c>
      <c r="D55" s="74">
        <f>SUM(D49:D54)</f>
        <v>106302.3</v>
      </c>
    </row>
    <row r="56" spans="1:4">
      <c r="A56" s="76"/>
      <c r="B56" s="76"/>
      <c r="C56" s="62" t="s">
        <v>40</v>
      </c>
      <c r="D56" s="74">
        <v>1849536</v>
      </c>
    </row>
    <row r="57" spans="1:4">
      <c r="A57" s="76"/>
      <c r="B57" s="76"/>
      <c r="C57" s="62" t="s">
        <v>41</v>
      </c>
      <c r="D57" s="74">
        <f>+D56*$B$1/1000</f>
        <v>452341.01951999997</v>
      </c>
    </row>
    <row r="58" spans="1:4">
      <c r="A58" s="76"/>
      <c r="B58" s="76"/>
      <c r="C58" s="62" t="s">
        <v>25</v>
      </c>
      <c r="D58" s="75">
        <f>+D55/D57</f>
        <v>0.23500477607094378</v>
      </c>
    </row>
    <row r="59" spans="1:4">
      <c r="A59" s="76"/>
      <c r="B59" s="76"/>
      <c r="C59" s="56"/>
      <c r="D59" s="56"/>
    </row>
    <row r="60" spans="1:4" ht="18">
      <c r="A60" s="199" t="s">
        <v>42</v>
      </c>
      <c r="B60" s="199"/>
      <c r="C60" s="199"/>
      <c r="D60" s="199"/>
    </row>
    <row r="61" spans="1:4">
      <c r="A61" s="69" t="s">
        <v>27</v>
      </c>
      <c r="B61" s="64" t="s">
        <v>28</v>
      </c>
      <c r="C61" s="74" t="s">
        <v>6</v>
      </c>
      <c r="D61" s="74" t="s">
        <v>7</v>
      </c>
    </row>
    <row r="62" spans="1:4">
      <c r="A62" s="69" t="s">
        <v>43</v>
      </c>
      <c r="B62" s="64">
        <v>110.65</v>
      </c>
      <c r="C62" s="67">
        <v>1830</v>
      </c>
      <c r="D62" s="67">
        <f t="shared" ref="D62:D65" si="4">+B62*C62</f>
        <v>202489.5</v>
      </c>
    </row>
    <row r="63" spans="1:4">
      <c r="A63" s="84" t="s">
        <v>15</v>
      </c>
      <c r="B63" s="64">
        <v>184.21</v>
      </c>
      <c r="C63" s="67">
        <v>1400</v>
      </c>
      <c r="D63" s="67">
        <f t="shared" si="4"/>
        <v>257894</v>
      </c>
    </row>
    <row r="64" spans="1:4" hidden="1">
      <c r="A64" s="63" t="s">
        <v>32</v>
      </c>
      <c r="B64" s="76">
        <v>218.84</v>
      </c>
      <c r="C64" s="67"/>
      <c r="D64" s="67">
        <f t="shared" si="4"/>
        <v>0</v>
      </c>
    </row>
    <row r="65" spans="1:4">
      <c r="A65" s="85" t="s">
        <v>9</v>
      </c>
      <c r="B65" s="85">
        <v>67.95</v>
      </c>
      <c r="C65" s="67">
        <v>150</v>
      </c>
      <c r="D65" s="67">
        <f t="shared" si="4"/>
        <v>10192.5</v>
      </c>
    </row>
    <row r="66" spans="1:4">
      <c r="A66" s="76"/>
      <c r="B66" s="76"/>
      <c r="C66" s="62" t="s">
        <v>22</v>
      </c>
      <c r="D66" s="74">
        <f>SUM(D62:D65)</f>
        <v>470576</v>
      </c>
    </row>
    <row r="67" spans="1:4">
      <c r="A67" s="76"/>
      <c r="B67" s="76"/>
      <c r="C67" s="62" t="s">
        <v>44</v>
      </c>
      <c r="D67" s="74">
        <v>2550032</v>
      </c>
    </row>
    <row r="68" spans="1:4">
      <c r="A68" s="76"/>
      <c r="B68" s="76"/>
      <c r="C68" s="62" t="s">
        <v>45</v>
      </c>
      <c r="D68" s="74">
        <f>+D67*$B$1/1000</f>
        <v>623661.32623999997</v>
      </c>
    </row>
    <row r="69" spans="1:4">
      <c r="A69" s="76"/>
      <c r="B69" s="76"/>
      <c r="C69" s="62" t="s">
        <v>25</v>
      </c>
      <c r="D69" s="75">
        <f>+D66/D68</f>
        <v>0.75453772777135608</v>
      </c>
    </row>
    <row r="70" spans="1:4">
      <c r="A70" s="76"/>
      <c r="B70" s="76"/>
      <c r="C70" s="56"/>
      <c r="D70" s="56"/>
    </row>
    <row r="71" spans="1:4" ht="18" hidden="1">
      <c r="A71" s="199" t="s">
        <v>46</v>
      </c>
      <c r="B71" s="199"/>
      <c r="C71" s="199"/>
      <c r="D71" s="199"/>
    </row>
    <row r="72" spans="1:4" hidden="1">
      <c r="A72" s="69" t="s">
        <v>27</v>
      </c>
      <c r="B72" s="64" t="s">
        <v>28</v>
      </c>
      <c r="C72" s="74" t="s">
        <v>6</v>
      </c>
      <c r="D72" s="74" t="s">
        <v>7</v>
      </c>
    </row>
    <row r="73" spans="1:4" hidden="1">
      <c r="A73" s="69" t="s">
        <v>43</v>
      </c>
      <c r="B73" s="64">
        <v>97</v>
      </c>
      <c r="C73" s="67">
        <v>0</v>
      </c>
      <c r="D73" s="67">
        <f t="shared" ref="D73:D75" si="5">+B73*C73</f>
        <v>0</v>
      </c>
    </row>
    <row r="74" spans="1:4" hidden="1">
      <c r="A74" s="63" t="s">
        <v>8</v>
      </c>
      <c r="B74" s="64">
        <v>97.85</v>
      </c>
      <c r="C74" s="67">
        <v>0</v>
      </c>
      <c r="D74" s="67">
        <f t="shared" si="5"/>
        <v>0</v>
      </c>
    </row>
    <row r="75" spans="1:4" hidden="1">
      <c r="A75" s="84" t="s">
        <v>15</v>
      </c>
      <c r="B75" s="64">
        <v>146.01</v>
      </c>
      <c r="C75" s="67">
        <v>0</v>
      </c>
      <c r="D75" s="67">
        <f t="shared" si="5"/>
        <v>0</v>
      </c>
    </row>
    <row r="76" spans="1:4" hidden="1">
      <c r="A76" s="63"/>
      <c r="B76" s="76"/>
      <c r="C76" s="62" t="s">
        <v>22</v>
      </c>
      <c r="D76" s="74">
        <f>SUM(D73:D75)</f>
        <v>0</v>
      </c>
    </row>
    <row r="77" spans="1:4" hidden="1">
      <c r="A77" s="76"/>
      <c r="B77" s="76"/>
      <c r="C77" s="62" t="s">
        <v>47</v>
      </c>
      <c r="D77" s="74"/>
    </row>
    <row r="78" spans="1:4" hidden="1">
      <c r="A78" s="76"/>
      <c r="B78" s="76"/>
      <c r="C78" s="62" t="s">
        <v>48</v>
      </c>
      <c r="D78" s="74">
        <f>+D77*289/1000</f>
        <v>0</v>
      </c>
    </row>
    <row r="79" spans="1:4" hidden="1">
      <c r="A79" s="76"/>
      <c r="B79" s="76"/>
      <c r="C79" s="62" t="s">
        <v>25</v>
      </c>
      <c r="D79" s="75" t="e">
        <f>+D76/D78</f>
        <v>#DIV/0!</v>
      </c>
    </row>
    <row r="80" spans="1:4">
      <c r="A80" s="76"/>
      <c r="B80" s="76"/>
      <c r="C80" s="56"/>
      <c r="D80" s="56"/>
    </row>
    <row r="81" spans="1:4" ht="18">
      <c r="A81" s="199" t="s">
        <v>49</v>
      </c>
      <c r="B81" s="199"/>
      <c r="C81" s="199"/>
      <c r="D81" s="199"/>
    </row>
    <row r="82" spans="1:4">
      <c r="A82" s="69" t="s">
        <v>27</v>
      </c>
      <c r="B82" s="64" t="s">
        <v>28</v>
      </c>
      <c r="C82" s="85" t="s">
        <v>6</v>
      </c>
      <c r="D82" s="74" t="s">
        <v>7</v>
      </c>
    </row>
    <row r="83" spans="1:4">
      <c r="A83" s="69" t="s">
        <v>29</v>
      </c>
      <c r="B83" s="64">
        <v>24.51</v>
      </c>
      <c r="C83" s="72">
        <v>7411</v>
      </c>
      <c r="D83" s="67">
        <f t="shared" ref="D83:D96" si="6">+B83*C83</f>
        <v>181643.61000000002</v>
      </c>
    </row>
    <row r="84" spans="1:4">
      <c r="A84" s="69" t="s">
        <v>50</v>
      </c>
      <c r="B84" s="64">
        <v>24.55</v>
      </c>
      <c r="C84" s="72">
        <v>16025</v>
      </c>
      <c r="D84" s="67">
        <f t="shared" si="6"/>
        <v>393413.75</v>
      </c>
    </row>
    <row r="85" spans="1:4" ht="25.5" hidden="1">
      <c r="A85" s="71" t="s">
        <v>18</v>
      </c>
      <c r="B85" s="64">
        <v>32</v>
      </c>
      <c r="C85" s="72"/>
      <c r="D85" s="67">
        <f t="shared" si="6"/>
        <v>0</v>
      </c>
    </row>
    <row r="86" spans="1:4" ht="14.1" customHeight="1">
      <c r="A86" s="69" t="s">
        <v>30</v>
      </c>
      <c r="B86" s="64">
        <v>105.57</v>
      </c>
      <c r="C86" s="72">
        <v>3580</v>
      </c>
      <c r="D86" s="67">
        <f t="shared" si="6"/>
        <v>377940.6</v>
      </c>
    </row>
    <row r="87" spans="1:4">
      <c r="A87" s="69" t="s">
        <v>51</v>
      </c>
      <c r="B87" s="64">
        <v>249.86</v>
      </c>
      <c r="C87" s="72">
        <v>40</v>
      </c>
      <c r="D87" s="67">
        <f t="shared" si="6"/>
        <v>9994.4000000000015</v>
      </c>
    </row>
    <row r="88" spans="1:4">
      <c r="A88" s="69" t="s">
        <v>20</v>
      </c>
      <c r="B88" s="64">
        <v>68.349999999999994</v>
      </c>
      <c r="C88" s="72">
        <v>100</v>
      </c>
      <c r="D88" s="67">
        <f t="shared" si="6"/>
        <v>6834.9999999999991</v>
      </c>
    </row>
    <row r="89" spans="1:4">
      <c r="A89" s="69" t="s">
        <v>11</v>
      </c>
      <c r="B89" s="64">
        <v>120.74</v>
      </c>
      <c r="C89" s="67">
        <v>200</v>
      </c>
      <c r="D89" s="67">
        <f t="shared" si="6"/>
        <v>24148</v>
      </c>
    </row>
    <row r="90" spans="1:4">
      <c r="A90" s="63" t="s">
        <v>12</v>
      </c>
      <c r="B90" s="64">
        <v>216.74</v>
      </c>
      <c r="C90" s="67">
        <v>200</v>
      </c>
      <c r="D90" s="67">
        <f t="shared" si="6"/>
        <v>43348</v>
      </c>
    </row>
    <row r="91" spans="1:4">
      <c r="A91" s="69" t="s">
        <v>52</v>
      </c>
      <c r="B91" s="64">
        <v>138.76</v>
      </c>
      <c r="C91" s="67">
        <v>440</v>
      </c>
      <c r="D91" s="67">
        <f t="shared" si="6"/>
        <v>61054.399999999994</v>
      </c>
    </row>
    <row r="92" spans="1:4">
      <c r="A92" s="63" t="s">
        <v>53</v>
      </c>
      <c r="B92" s="64">
        <v>125</v>
      </c>
      <c r="C92" s="67">
        <v>185</v>
      </c>
      <c r="D92" s="67">
        <f t="shared" si="6"/>
        <v>23125</v>
      </c>
    </row>
    <row r="93" spans="1:4">
      <c r="A93" s="69" t="s">
        <v>15</v>
      </c>
      <c r="B93" s="64">
        <v>184.21</v>
      </c>
      <c r="C93" s="82">
        <f>3270-1400</f>
        <v>1870</v>
      </c>
      <c r="D93" s="67">
        <f t="shared" si="6"/>
        <v>344472.7</v>
      </c>
    </row>
    <row r="94" spans="1:4" ht="15.75" hidden="1">
      <c r="A94" s="86" t="s">
        <v>54</v>
      </c>
      <c r="B94" s="76">
        <v>244.88</v>
      </c>
      <c r="C94" s="82"/>
      <c r="D94" s="67">
        <f t="shared" si="6"/>
        <v>0</v>
      </c>
    </row>
    <row r="95" spans="1:4">
      <c r="A95" s="63" t="s">
        <v>16</v>
      </c>
      <c r="B95" s="64">
        <v>215.52</v>
      </c>
      <c r="C95" s="65">
        <v>145</v>
      </c>
      <c r="D95" s="53">
        <f t="shared" si="6"/>
        <v>31250.400000000001</v>
      </c>
    </row>
    <row r="96" spans="1:4">
      <c r="A96" s="85" t="s">
        <v>9</v>
      </c>
      <c r="B96" s="87">
        <v>67.95</v>
      </c>
      <c r="C96" s="67">
        <f>1180-150</f>
        <v>1030</v>
      </c>
      <c r="D96" s="74">
        <f t="shared" si="6"/>
        <v>69988.5</v>
      </c>
    </row>
    <row r="97" spans="1:7">
      <c r="A97" s="72"/>
      <c r="B97" s="72"/>
      <c r="C97" s="62" t="s">
        <v>22</v>
      </c>
      <c r="D97" s="74">
        <f>SUM(D83:D96)</f>
        <v>1567214.3599999999</v>
      </c>
    </row>
    <row r="98" spans="1:7">
      <c r="A98" s="72"/>
      <c r="B98" s="72"/>
      <c r="C98" s="62" t="s">
        <v>55</v>
      </c>
      <c r="D98" s="74">
        <v>1072192</v>
      </c>
    </row>
    <row r="99" spans="1:7">
      <c r="A99" s="72"/>
      <c r="B99" s="72"/>
      <c r="C99" s="62" t="s">
        <v>56</v>
      </c>
      <c r="D99" s="74">
        <f>+D98*$B$1/1000</f>
        <v>262225.99744000001</v>
      </c>
    </row>
    <row r="100" spans="1:7">
      <c r="A100" s="76"/>
      <c r="B100" s="76"/>
      <c r="C100" s="62" t="s">
        <v>25</v>
      </c>
      <c r="D100" s="75">
        <f>+D97/D99</f>
        <v>5.976578887295851</v>
      </c>
    </row>
    <row r="101" spans="1:7" ht="18">
      <c r="A101" s="199"/>
      <c r="B101" s="199"/>
      <c r="C101" s="199"/>
      <c r="D101" s="199"/>
    </row>
    <row r="102" spans="1:7" ht="18">
      <c r="A102" s="199" t="s">
        <v>57</v>
      </c>
      <c r="B102" s="199"/>
      <c r="C102" s="199"/>
      <c r="D102" s="199"/>
    </row>
    <row r="103" spans="1:7">
      <c r="A103" s="62" t="s">
        <v>27</v>
      </c>
      <c r="B103" s="88" t="s">
        <v>28</v>
      </c>
      <c r="C103" s="62" t="s">
        <v>6</v>
      </c>
      <c r="D103" s="74" t="s">
        <v>7</v>
      </c>
    </row>
    <row r="104" spans="1:7">
      <c r="A104" s="62" t="s">
        <v>58</v>
      </c>
      <c r="B104" s="66">
        <v>24.51</v>
      </c>
      <c r="C104" s="52">
        <v>65613</v>
      </c>
      <c r="D104" s="67">
        <f t="shared" ref="D104:D108" si="7">+B104*C104</f>
        <v>1608174.6300000001</v>
      </c>
    </row>
    <row r="105" spans="1:7">
      <c r="A105" s="62" t="s">
        <v>10</v>
      </c>
      <c r="B105" s="89">
        <v>68.48</v>
      </c>
      <c r="C105" s="52">
        <v>7776</v>
      </c>
      <c r="D105" s="67">
        <f t="shared" si="7"/>
        <v>532500.47999999998</v>
      </c>
      <c r="F105" t="s">
        <v>59</v>
      </c>
      <c r="G105" s="70">
        <f>SUM(C6:C19)</f>
        <v>51442</v>
      </c>
    </row>
    <row r="106" spans="1:7">
      <c r="A106" s="69" t="s">
        <v>11</v>
      </c>
      <c r="B106" s="64">
        <v>120.74</v>
      </c>
      <c r="C106" s="72">
        <v>150</v>
      </c>
      <c r="D106" s="67">
        <f t="shared" si="7"/>
        <v>18111</v>
      </c>
      <c r="F106" t="s">
        <v>60</v>
      </c>
      <c r="G106" s="70">
        <f>SUM(C28:C36)</f>
        <v>89173</v>
      </c>
    </row>
    <row r="107" spans="1:7" hidden="1">
      <c r="A107" s="63" t="s">
        <v>12</v>
      </c>
      <c r="B107" s="64">
        <v>216.74</v>
      </c>
      <c r="C107" s="67">
        <v>0</v>
      </c>
      <c r="D107" s="67">
        <f t="shared" si="7"/>
        <v>0</v>
      </c>
      <c r="F107" t="s">
        <v>61</v>
      </c>
      <c r="G107" s="70">
        <f>SUM(C49:C54)</f>
        <v>650</v>
      </c>
    </row>
    <row r="108" spans="1:7" hidden="1">
      <c r="A108" s="63" t="s">
        <v>62</v>
      </c>
      <c r="B108" s="64">
        <v>11</v>
      </c>
      <c r="C108" s="52">
        <v>0</v>
      </c>
      <c r="D108" s="67">
        <f t="shared" si="7"/>
        <v>0</v>
      </c>
      <c r="F108" t="s">
        <v>63</v>
      </c>
      <c r="G108" s="70">
        <f>SUM(C62:C65)</f>
        <v>3380</v>
      </c>
    </row>
    <row r="109" spans="1:7">
      <c r="A109" s="76"/>
      <c r="B109" s="76"/>
      <c r="C109" s="62" t="s">
        <v>22</v>
      </c>
      <c r="D109" s="74">
        <f>SUM(D104:D108)</f>
        <v>2158786.1100000003</v>
      </c>
      <c r="F109" t="s">
        <v>64</v>
      </c>
      <c r="G109" s="70">
        <f>SUM(C74:C76)</f>
        <v>0</v>
      </c>
    </row>
    <row r="110" spans="1:7">
      <c r="A110" s="76"/>
      <c r="B110" s="76"/>
      <c r="C110" s="62" t="s">
        <v>65</v>
      </c>
      <c r="D110" s="74">
        <v>4283029</v>
      </c>
    </row>
    <row r="111" spans="1:7">
      <c r="A111" s="76"/>
      <c r="B111" s="76"/>
      <c r="C111" s="62" t="s">
        <v>66</v>
      </c>
      <c r="D111" s="74">
        <f>+D110*$B$1/1000</f>
        <v>1047500.40253</v>
      </c>
      <c r="F111" t="s">
        <v>67</v>
      </c>
      <c r="G111" s="90">
        <f>SUM(C83:C96)</f>
        <v>31226</v>
      </c>
    </row>
    <row r="112" spans="1:7">
      <c r="A112" s="76"/>
      <c r="B112" s="76"/>
      <c r="C112" s="62" t="s">
        <v>25</v>
      </c>
      <c r="D112" s="75">
        <f>+D109/D111</f>
        <v>2.0608928691444333</v>
      </c>
      <c r="F112" t="s">
        <v>68</v>
      </c>
      <c r="G112" s="90">
        <f>SUM(C104:C108)</f>
        <v>73539</v>
      </c>
    </row>
    <row r="113" spans="7:8">
      <c r="G113" s="70">
        <f>SUM(G105:G112)</f>
        <v>249410</v>
      </c>
      <c r="H113" s="90" t="e">
        <f>+#REF!</f>
        <v>#REF!</v>
      </c>
    </row>
    <row r="115" spans="7:8">
      <c r="G115" t="e">
        <f>+H113-G113</f>
        <v>#REF!</v>
      </c>
    </row>
  </sheetData>
  <mergeCells count="8">
    <mergeCell ref="A81:D81"/>
    <mergeCell ref="A101:D101"/>
    <mergeCell ref="A102:D102"/>
    <mergeCell ref="A4:D4"/>
    <mergeCell ref="A26:D26"/>
    <mergeCell ref="A47:D47"/>
    <mergeCell ref="A60:D60"/>
    <mergeCell ref="A71:D71"/>
  </mergeCells>
  <printOptions horizontalCentered="1"/>
  <pageMargins left="0.749305555555556" right="0.749305555555556" top="0.999305555555556" bottom="0.999305555555556" header="0.50902777777777797" footer="0.50902777777777797"/>
  <pageSetup scale="69" orientation="portrait"/>
  <headerFooter alignWithMargins="0"/>
  <rowBreaks count="1" manualBreakCount="1">
    <brk id="79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6"/>
  <sheetViews>
    <sheetView tabSelected="1" view="pageBreakPreview" topLeftCell="B1" zoomScaleNormal="85" zoomScaleSheetLayoutView="100" workbookViewId="0">
      <pane xSplit="1" ySplit="2" topLeftCell="W6" activePane="bottomRight" state="frozen"/>
      <selection pane="topRight"/>
      <selection pane="bottomLeft"/>
      <selection pane="bottomRight" activeCell="Q1" sqref="Q1:AL1"/>
    </sheetView>
  </sheetViews>
  <sheetFormatPr defaultColWidth="9.140625" defaultRowHeight="12.75"/>
  <cols>
    <col min="1" max="1" width="15.5703125" style="98" customWidth="1"/>
    <col min="2" max="2" width="37.42578125" style="178" customWidth="1"/>
    <col min="3" max="3" width="12.5703125" style="98" customWidth="1"/>
    <col min="4" max="4" width="13.85546875" style="98" hidden="1" customWidth="1"/>
    <col min="5" max="5" width="12.5703125" style="98" customWidth="1"/>
    <col min="6" max="6" width="13.85546875" style="98" hidden="1" customWidth="1"/>
    <col min="7" max="7" width="12" style="98" customWidth="1"/>
    <col min="8" max="8" width="13.85546875" style="98" hidden="1" customWidth="1"/>
    <col min="9" max="9" width="14.28515625" style="98" customWidth="1"/>
    <col min="10" max="10" width="22" style="98" hidden="1" customWidth="1"/>
    <col min="11" max="11" width="15.140625" style="98" customWidth="1"/>
    <col min="12" max="12" width="1.7109375" style="98" hidden="1" customWidth="1"/>
    <col min="13" max="13" width="15.42578125" style="98" customWidth="1"/>
    <col min="14" max="14" width="13.85546875" style="98" hidden="1" customWidth="1"/>
    <col min="15" max="15" width="12.28515625" style="98" customWidth="1"/>
    <col min="16" max="16" width="13.85546875" style="98" hidden="1" customWidth="1"/>
    <col min="17" max="17" width="5.5703125" style="98" hidden="1" customWidth="1"/>
    <col min="18" max="18" width="38.28515625" style="98" hidden="1" customWidth="1"/>
    <col min="19" max="19" width="13.42578125" style="98" customWidth="1"/>
    <col min="20" max="20" width="16" style="98" hidden="1" customWidth="1"/>
    <col min="21" max="21" width="11.5703125" style="198" customWidth="1"/>
    <col min="22" max="22" width="13.85546875" style="198" hidden="1" customWidth="1"/>
    <col min="23" max="23" width="10.5703125" style="98" customWidth="1"/>
    <col min="24" max="24" width="13.85546875" style="98" hidden="1" customWidth="1"/>
    <col min="25" max="25" width="11.42578125" style="98" customWidth="1"/>
    <col min="26" max="26" width="13.85546875" style="98" hidden="1" customWidth="1"/>
    <col min="27" max="27" width="12.28515625" style="98" customWidth="1"/>
    <col min="28" max="28" width="13.85546875" style="98" hidden="1" customWidth="1"/>
    <col min="29" max="29" width="12.28515625" style="98" customWidth="1"/>
    <col min="30" max="30" width="14.5703125" style="98" hidden="1" customWidth="1"/>
    <col min="31" max="31" width="12.85546875" style="197" customWidth="1"/>
    <col min="32" max="32" width="13.85546875" style="197" hidden="1" customWidth="1"/>
    <col min="33" max="33" width="13.5703125" style="197" customWidth="1"/>
    <col min="34" max="34" width="13.85546875" style="197" hidden="1" customWidth="1"/>
    <col min="35" max="35" width="12.28515625" style="98" customWidth="1"/>
    <col min="36" max="36" width="13.85546875" style="98" hidden="1" customWidth="1"/>
    <col min="37" max="37" width="12.85546875" style="98" customWidth="1"/>
    <col min="38" max="38" width="13.85546875" style="98" hidden="1" customWidth="1"/>
    <col min="39" max="39" width="5.5703125" style="98" customWidth="1"/>
    <col min="40" max="40" width="38.28515625" style="98" customWidth="1"/>
    <col min="41" max="41" width="20.28515625" style="98" customWidth="1"/>
    <col min="42" max="42" width="13.85546875" style="98" customWidth="1"/>
    <col min="43" max="43" width="23.85546875" style="98" customWidth="1"/>
    <col min="44" max="44" width="13.85546875" style="98" customWidth="1"/>
    <col min="45" max="45" width="9.140625" style="98" customWidth="1"/>
    <col min="46" max="16384" width="9.140625" style="98"/>
  </cols>
  <sheetData>
    <row r="1" spans="1:44" ht="42.95" customHeight="1" thickTop="1" thickBot="1">
      <c r="A1" s="200" t="s">
        <v>69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2"/>
      <c r="Q1" s="200" t="s">
        <v>69</v>
      </c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1"/>
      <c r="AI1" s="201"/>
      <c r="AJ1" s="201"/>
      <c r="AK1" s="201"/>
      <c r="AL1" s="202"/>
      <c r="AM1" s="200" t="s">
        <v>69</v>
      </c>
      <c r="AN1" s="201"/>
      <c r="AO1" s="201"/>
      <c r="AP1" s="201"/>
      <c r="AQ1" s="201"/>
      <c r="AR1" s="202"/>
    </row>
    <row r="2" spans="1:44" s="104" customFormat="1" ht="63.95" customHeight="1" thickTop="1" thickBot="1">
      <c r="A2" s="99" t="s">
        <v>70</v>
      </c>
      <c r="B2" s="99" t="s">
        <v>71</v>
      </c>
      <c r="C2" s="99" t="s">
        <v>72</v>
      </c>
      <c r="D2" s="99"/>
      <c r="E2" s="99" t="s">
        <v>73</v>
      </c>
      <c r="F2" s="99"/>
      <c r="G2" s="99" t="s">
        <v>155</v>
      </c>
      <c r="H2" s="99"/>
      <c r="I2" s="99" t="s">
        <v>74</v>
      </c>
      <c r="J2" s="99"/>
      <c r="K2" s="99" t="s">
        <v>75</v>
      </c>
      <c r="L2" s="99"/>
      <c r="M2" s="99" t="s">
        <v>156</v>
      </c>
      <c r="N2" s="99"/>
      <c r="O2" s="99" t="s">
        <v>157</v>
      </c>
      <c r="P2" s="99"/>
      <c r="Q2" s="100" t="s">
        <v>70</v>
      </c>
      <c r="R2" s="100" t="s">
        <v>76</v>
      </c>
      <c r="S2" s="100" t="s">
        <v>158</v>
      </c>
      <c r="T2" s="100"/>
      <c r="U2" s="100" t="s">
        <v>77</v>
      </c>
      <c r="V2" s="100"/>
      <c r="W2" s="101" t="s">
        <v>78</v>
      </c>
      <c r="X2" s="102"/>
      <c r="Y2" s="101" t="s">
        <v>79</v>
      </c>
      <c r="Z2" s="102"/>
      <c r="AA2" s="101" t="s">
        <v>80</v>
      </c>
      <c r="AB2" s="102"/>
      <c r="AC2" s="101" t="s">
        <v>81</v>
      </c>
      <c r="AD2" s="102"/>
      <c r="AE2" s="100" t="s">
        <v>159</v>
      </c>
      <c r="AF2" s="100"/>
      <c r="AG2" s="100" t="s">
        <v>160</v>
      </c>
      <c r="AH2" s="100"/>
      <c r="AI2" s="101" t="s">
        <v>82</v>
      </c>
      <c r="AJ2" s="102"/>
      <c r="AK2" s="101" t="s">
        <v>161</v>
      </c>
      <c r="AL2" s="102"/>
      <c r="AM2" s="103" t="s">
        <v>70</v>
      </c>
      <c r="AN2" s="103" t="s">
        <v>76</v>
      </c>
      <c r="AO2" s="103" t="s">
        <v>83</v>
      </c>
      <c r="AP2" s="103"/>
      <c r="AQ2" s="103" t="s">
        <v>84</v>
      </c>
      <c r="AR2" s="103"/>
    </row>
    <row r="3" spans="1:44" s="112" customFormat="1" ht="23.1" customHeight="1" thickTop="1">
      <c r="A3" s="105" t="s">
        <v>85</v>
      </c>
      <c r="B3" s="105"/>
      <c r="C3" s="106"/>
      <c r="D3" s="107"/>
      <c r="E3" s="106"/>
      <c r="F3" s="107"/>
      <c r="G3" s="106"/>
      <c r="H3" s="107"/>
      <c r="I3" s="106"/>
      <c r="J3" s="108"/>
      <c r="K3" s="107"/>
      <c r="L3" s="107"/>
      <c r="M3" s="106"/>
      <c r="N3" s="107"/>
      <c r="O3" s="106"/>
      <c r="P3" s="107"/>
      <c r="Q3" s="108" t="s">
        <v>85</v>
      </c>
      <c r="R3" s="108"/>
      <c r="S3" s="108"/>
      <c r="T3" s="108"/>
      <c r="U3" s="109"/>
      <c r="V3" s="109"/>
      <c r="W3" s="108"/>
      <c r="X3" s="108"/>
      <c r="Y3" s="108"/>
      <c r="Z3" s="108"/>
      <c r="AA3" s="108"/>
      <c r="AB3" s="108"/>
      <c r="AC3" s="108"/>
      <c r="AD3" s="108"/>
      <c r="AE3" s="110"/>
      <c r="AF3" s="111"/>
      <c r="AG3" s="110"/>
      <c r="AH3" s="111"/>
      <c r="AI3" s="108"/>
      <c r="AJ3" s="108"/>
      <c r="AK3" s="108"/>
      <c r="AL3" s="108"/>
      <c r="AM3" s="108" t="s">
        <v>85</v>
      </c>
      <c r="AN3" s="105"/>
      <c r="AO3" s="106"/>
      <c r="AP3" s="107"/>
      <c r="AQ3" s="106"/>
      <c r="AR3" s="107"/>
    </row>
    <row r="4" spans="1:44" s="112" customFormat="1" ht="15.75">
      <c r="A4" s="113">
        <v>1</v>
      </c>
      <c r="B4" s="113" t="s">
        <v>86</v>
      </c>
      <c r="C4" s="114">
        <f>'Osthoff-1'!$B$35</f>
        <v>0</v>
      </c>
      <c r="D4" s="114"/>
      <c r="E4" s="114">
        <f>'Osthoff-2'!$B$35</f>
        <v>0</v>
      </c>
      <c r="F4" s="114"/>
      <c r="G4" s="114">
        <f>PTR!$B$35</f>
        <v>0</v>
      </c>
      <c r="H4" s="114"/>
      <c r="I4" s="114">
        <f>Perble!$B$35</f>
        <v>0</v>
      </c>
      <c r="J4" s="115"/>
      <c r="K4" s="114">
        <f>'Merceriser-1'!$B$35</f>
        <v>0</v>
      </c>
      <c r="L4" s="114"/>
      <c r="M4" s="114">
        <f>'Merceriser-2'!$B$35</f>
        <v>0</v>
      </c>
      <c r="N4" s="114"/>
      <c r="O4" s="114">
        <f>NPS!$B$35</f>
        <v>0</v>
      </c>
      <c r="P4" s="114"/>
      <c r="Q4" s="114">
        <v>1</v>
      </c>
      <c r="R4" s="114" t="s">
        <v>86</v>
      </c>
      <c r="S4" s="114">
        <f>'Xetma-2'!B35</f>
        <v>0</v>
      </c>
      <c r="T4" s="114"/>
      <c r="U4" s="114">
        <f>'Xetma-3'!$B$35</f>
        <v>0</v>
      </c>
      <c r="V4" s="116"/>
      <c r="W4" s="114">
        <f>'Lafer-1'!$B$35</f>
        <v>0</v>
      </c>
      <c r="X4" s="114"/>
      <c r="Y4" s="114">
        <f>'Lafer-2'!$B$35</f>
        <v>0</v>
      </c>
      <c r="Z4" s="114"/>
      <c r="AA4" s="114">
        <f>'Lafer-3'!$B$35</f>
        <v>0</v>
      </c>
      <c r="AB4" s="114"/>
      <c r="AC4" s="114">
        <f>'Lafer-4'!$B$35</f>
        <v>0</v>
      </c>
      <c r="AD4" s="114"/>
      <c r="AE4" s="114">
        <f>'Lafer-5-Raising'!$B$35</f>
        <v>0</v>
      </c>
      <c r="AF4" s="117"/>
      <c r="AG4" s="114">
        <f>'Lafer-5-Shearing'!$B$35</f>
        <v>0</v>
      </c>
      <c r="AH4" s="117"/>
      <c r="AI4" s="114">
        <f>'Lafer-4'!$B$35</f>
        <v>0</v>
      </c>
      <c r="AJ4" s="114"/>
      <c r="AK4" s="114">
        <f>Soaper!$B$35</f>
        <v>0</v>
      </c>
      <c r="AL4" s="114"/>
      <c r="AM4" s="114">
        <v>1</v>
      </c>
      <c r="AN4" s="113" t="s">
        <v>86</v>
      </c>
      <c r="AO4" s="114" t="e">
        <f>+#REF!</f>
        <v>#REF!</v>
      </c>
      <c r="AP4" s="114"/>
      <c r="AQ4" s="114" t="e">
        <f>+#REF!</f>
        <v>#REF!</v>
      </c>
      <c r="AR4" s="114"/>
    </row>
    <row r="5" spans="1:44" s="112" customFormat="1" ht="15.75">
      <c r="A5" s="113"/>
      <c r="B5" s="113" t="s">
        <v>87</v>
      </c>
      <c r="C5" s="114">
        <f>'Osthoff-1'!$E$35</f>
        <v>0</v>
      </c>
      <c r="D5" s="114"/>
      <c r="E5" s="114">
        <f>'Osthoff-2'!$E$35</f>
        <v>0</v>
      </c>
      <c r="F5" s="114"/>
      <c r="G5" s="114">
        <f>PTR!$E$35</f>
        <v>0</v>
      </c>
      <c r="H5" s="114"/>
      <c r="I5" s="118">
        <f>Perble!$E$35</f>
        <v>0</v>
      </c>
      <c r="J5" s="115"/>
      <c r="K5" s="118">
        <f>'Merceriser-1'!$E$35</f>
        <v>0</v>
      </c>
      <c r="L5" s="115"/>
      <c r="M5" s="118">
        <f>'Merceriser-2'!$E$35</f>
        <v>0</v>
      </c>
      <c r="N5" s="115"/>
      <c r="O5" s="118">
        <f>NPS!$E$35</f>
        <v>0</v>
      </c>
      <c r="P5" s="114"/>
      <c r="Q5" s="114"/>
      <c r="R5" s="114" t="s">
        <v>87</v>
      </c>
      <c r="S5" s="114">
        <f>'Xetma-2'!E35</f>
        <v>0</v>
      </c>
      <c r="T5" s="114"/>
      <c r="U5" s="114">
        <f>'Xetma-3'!$E$35</f>
        <v>0</v>
      </c>
      <c r="V5" s="116"/>
      <c r="W5" s="114">
        <f>'Lafer-1'!$E$35</f>
        <v>0</v>
      </c>
      <c r="X5" s="114"/>
      <c r="Y5" s="114">
        <f>'Lafer-2'!$E$35</f>
        <v>0</v>
      </c>
      <c r="Z5" s="114"/>
      <c r="AA5" s="114">
        <f>'Lafer-3'!$E$35</f>
        <v>0</v>
      </c>
      <c r="AB5" s="114"/>
      <c r="AC5" s="114">
        <f>'Lafer-4'!$E$35</f>
        <v>0</v>
      </c>
      <c r="AD5" s="114"/>
      <c r="AE5" s="114">
        <f>'Lafer-5-Raising'!$E$35</f>
        <v>0</v>
      </c>
      <c r="AF5" s="117"/>
      <c r="AG5" s="114">
        <f>'Lafer-5-Shearing'!$E$35</f>
        <v>0</v>
      </c>
      <c r="AH5" s="117"/>
      <c r="AI5" s="114">
        <f>'Lafer-4'!$E$35</f>
        <v>0</v>
      </c>
      <c r="AJ5" s="114"/>
      <c r="AK5" s="114">
        <f>Soaper!$E$35</f>
        <v>0</v>
      </c>
      <c r="AL5" s="114"/>
      <c r="AM5" s="114"/>
      <c r="AN5" s="113" t="s">
        <v>87</v>
      </c>
      <c r="AO5" s="114" t="e">
        <f>+#REF!</f>
        <v>#REF!</v>
      </c>
      <c r="AP5" s="114"/>
      <c r="AQ5" s="114" t="e">
        <f>+#REF!</f>
        <v>#REF!</v>
      </c>
      <c r="AR5" s="114"/>
    </row>
    <row r="6" spans="1:44" s="112" customFormat="1" ht="15.75">
      <c r="A6" s="113"/>
      <c r="B6" s="113"/>
      <c r="C6" s="114"/>
      <c r="D6" s="114"/>
      <c r="E6" s="114"/>
      <c r="F6" s="114"/>
      <c r="G6" s="114"/>
      <c r="H6" s="114"/>
      <c r="I6" s="114"/>
      <c r="J6" s="115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6"/>
      <c r="W6" s="114"/>
      <c r="X6" s="114"/>
      <c r="Y6" s="114"/>
      <c r="Z6" s="114"/>
      <c r="AA6" s="114"/>
      <c r="AB6" s="114"/>
      <c r="AC6" s="114"/>
      <c r="AD6" s="114"/>
      <c r="AE6" s="114"/>
      <c r="AF6" s="117"/>
      <c r="AG6" s="114"/>
      <c r="AH6" s="117"/>
      <c r="AI6" s="114"/>
      <c r="AJ6" s="114"/>
      <c r="AK6" s="114"/>
      <c r="AL6" s="114"/>
      <c r="AM6" s="114"/>
      <c r="AN6" s="113"/>
      <c r="AO6" s="114"/>
      <c r="AP6" s="114"/>
      <c r="AQ6" s="114"/>
      <c r="AR6" s="114"/>
    </row>
    <row r="7" spans="1:44" s="112" customFormat="1" ht="15.75">
      <c r="A7" s="113">
        <v>2</v>
      </c>
      <c r="B7" s="113" t="s">
        <v>88</v>
      </c>
      <c r="C7" s="118">
        <f>'Osthoff-1'!$I$35</f>
        <v>0</v>
      </c>
      <c r="D7" s="119"/>
      <c r="E7" s="118">
        <f>'Osthoff-2'!$I$35</f>
        <v>0</v>
      </c>
      <c r="F7" s="118"/>
      <c r="G7" s="118">
        <f>PTR!$I$35</f>
        <v>0</v>
      </c>
      <c r="H7" s="118"/>
      <c r="I7" s="118">
        <f>Perble!$I$35</f>
        <v>0</v>
      </c>
      <c r="J7" s="119"/>
      <c r="K7" s="118">
        <f>'Merceriser-1'!$I$35</f>
        <v>0</v>
      </c>
      <c r="L7" s="119"/>
      <c r="M7" s="118">
        <f>'Merceriser-2'!$I$35</f>
        <v>0</v>
      </c>
      <c r="N7" s="119"/>
      <c r="O7" s="118">
        <f>NPS!$I$35</f>
        <v>0</v>
      </c>
      <c r="P7" s="118"/>
      <c r="Q7" s="114">
        <v>2</v>
      </c>
      <c r="R7" s="114" t="s">
        <v>88</v>
      </c>
      <c r="S7" s="120">
        <f>'Xetma-2'!I35</f>
        <v>0</v>
      </c>
      <c r="T7" s="120"/>
      <c r="U7" s="120">
        <f>'Xetma-3'!$I$35</f>
        <v>0</v>
      </c>
      <c r="V7" s="121"/>
      <c r="W7" s="120">
        <f>'Lafer-1'!$I$35</f>
        <v>0</v>
      </c>
      <c r="X7" s="122"/>
      <c r="Y7" s="120">
        <f>'Lafer-2'!$I$35</f>
        <v>0</v>
      </c>
      <c r="Z7" s="114"/>
      <c r="AA7" s="120">
        <f>'Lafer-3'!$I$35</f>
        <v>0</v>
      </c>
      <c r="AB7" s="122"/>
      <c r="AC7" s="120">
        <f>'Lafer-4'!$I$35</f>
        <v>0</v>
      </c>
      <c r="AD7" s="114"/>
      <c r="AE7" s="120">
        <f>'Lafer-5-Raising'!$I$35</f>
        <v>0</v>
      </c>
      <c r="AF7" s="123"/>
      <c r="AG7" s="120">
        <f>'Lafer-5-Shearing'!$I$35</f>
        <v>0</v>
      </c>
      <c r="AH7" s="123"/>
      <c r="AI7" s="120">
        <f>'Lafer-4'!$I$35</f>
        <v>0</v>
      </c>
      <c r="AJ7" s="122"/>
      <c r="AK7" s="120">
        <f>Soaper!$I$35</f>
        <v>0</v>
      </c>
      <c r="AL7" s="114"/>
      <c r="AM7" s="114">
        <v>2</v>
      </c>
      <c r="AN7" s="113" t="s">
        <v>88</v>
      </c>
      <c r="AO7" s="119" t="e">
        <f>+#REF!</f>
        <v>#REF!</v>
      </c>
      <c r="AP7" s="119"/>
      <c r="AQ7" s="119" t="e">
        <f>+#REF!</f>
        <v>#REF!</v>
      </c>
      <c r="AR7" s="118"/>
    </row>
    <row r="8" spans="1:44" s="112" customFormat="1" ht="15.75">
      <c r="A8" s="113">
        <v>3</v>
      </c>
      <c r="B8" s="113" t="s">
        <v>89</v>
      </c>
      <c r="C8" s="118">
        <f>C7/C10*100</f>
        <v>0</v>
      </c>
      <c r="D8" s="119"/>
      <c r="E8" s="118">
        <f>E7/E10*100</f>
        <v>0</v>
      </c>
      <c r="F8" s="118"/>
      <c r="G8" s="118">
        <f>G7/G10*100</f>
        <v>0</v>
      </c>
      <c r="H8" s="119"/>
      <c r="I8" s="118">
        <f>I7/I10*100</f>
        <v>0</v>
      </c>
      <c r="J8" s="119"/>
      <c r="K8" s="118">
        <f>K7/K10*100</f>
        <v>0</v>
      </c>
      <c r="L8" s="119"/>
      <c r="M8" s="118">
        <f>M7/M10*100</f>
        <v>0</v>
      </c>
      <c r="N8" s="119"/>
      <c r="O8" s="118">
        <f>O7/O10*100</f>
        <v>0</v>
      </c>
      <c r="P8" s="119"/>
      <c r="Q8" s="118">
        <v>3</v>
      </c>
      <c r="R8" s="119" t="s">
        <v>89</v>
      </c>
      <c r="S8" s="120">
        <f>+S7/S10*100</f>
        <v>0</v>
      </c>
      <c r="T8" s="120"/>
      <c r="U8" s="120">
        <f>+U7/U10*100</f>
        <v>0</v>
      </c>
      <c r="V8" s="124"/>
      <c r="W8" s="120">
        <f>+W7/W10*100</f>
        <v>0</v>
      </c>
      <c r="X8" s="119"/>
      <c r="Y8" s="120">
        <f>+Y7/Y10*100</f>
        <v>0</v>
      </c>
      <c r="Z8" s="119"/>
      <c r="AA8" s="120">
        <f>+AA7/AA10*100</f>
        <v>0</v>
      </c>
      <c r="AB8" s="119"/>
      <c r="AC8" s="120">
        <f>+AC7/AC10*100</f>
        <v>0</v>
      </c>
      <c r="AD8" s="119"/>
      <c r="AE8" s="120">
        <f>+AE7/AE10*100</f>
        <v>0</v>
      </c>
      <c r="AF8" s="125"/>
      <c r="AG8" s="120">
        <f>+AG7/AG10*100</f>
        <v>0</v>
      </c>
      <c r="AH8" s="125"/>
      <c r="AI8" s="120">
        <f>+AI7/AI10*100</f>
        <v>0</v>
      </c>
      <c r="AJ8" s="119"/>
      <c r="AK8" s="120">
        <f>+AK7/AK10*100</f>
        <v>0</v>
      </c>
      <c r="AL8" s="119"/>
      <c r="AM8" s="118">
        <v>3</v>
      </c>
      <c r="AN8" s="126" t="s">
        <v>89</v>
      </c>
      <c r="AO8" s="119" t="e">
        <f>+AO7/AO10*100</f>
        <v>#REF!</v>
      </c>
      <c r="AP8" s="119"/>
      <c r="AQ8" s="119" t="e">
        <f>+AQ7/AQ10*100</f>
        <v>#REF!</v>
      </c>
      <c r="AR8" s="119"/>
    </row>
    <row r="9" spans="1:44" s="112" customFormat="1" ht="15.75">
      <c r="A9" s="113"/>
      <c r="B9" s="113" t="s">
        <v>90</v>
      </c>
      <c r="C9" s="118" t="str">
        <f>IFERROR(+C4/C7/60,"")</f>
        <v/>
      </c>
      <c r="D9" s="119"/>
      <c r="E9" s="118" t="str">
        <f>IFERROR(+E4/E7/60,"")</f>
        <v/>
      </c>
      <c r="F9" s="118"/>
      <c r="G9" s="118" t="str">
        <f>IFERROR(+G4/G7/60,"")</f>
        <v/>
      </c>
      <c r="H9" s="119"/>
      <c r="I9" s="118" t="str">
        <f>IFERROR(+I4/I7/60,"")</f>
        <v/>
      </c>
      <c r="J9" s="119"/>
      <c r="K9" s="118" t="str">
        <f>IFERROR(+K4/K7/60,"")</f>
        <v/>
      </c>
      <c r="L9" s="119"/>
      <c r="M9" s="118" t="str">
        <f>IFERROR(+M4/M7/60,"")</f>
        <v/>
      </c>
      <c r="N9" s="119"/>
      <c r="O9" s="118" t="str">
        <f>IFERROR(+O4/O7/60,"")</f>
        <v/>
      </c>
      <c r="P9" s="119"/>
      <c r="Q9" s="119"/>
      <c r="R9" s="114" t="s">
        <v>90</v>
      </c>
      <c r="S9" s="120" t="str">
        <f>IFERROR(+S4/S7/60,"")</f>
        <v/>
      </c>
      <c r="T9" s="120"/>
      <c r="U9" s="120" t="str">
        <f>IFERROR(+U4/U7/60,"")</f>
        <v/>
      </c>
      <c r="V9" s="124"/>
      <c r="W9" s="120" t="str">
        <f>IFERROR(+W4/W7/60,"")</f>
        <v/>
      </c>
      <c r="X9" s="119"/>
      <c r="Y9" s="120" t="str">
        <f>IFERROR(+Y4/Y7/60,"")</f>
        <v/>
      </c>
      <c r="Z9" s="119"/>
      <c r="AA9" s="120" t="str">
        <f>IFERROR(+AA4/AA7/60,"")</f>
        <v/>
      </c>
      <c r="AB9" s="119"/>
      <c r="AC9" s="120" t="str">
        <f>IFERROR(+AC4/AC7/60,"")</f>
        <v/>
      </c>
      <c r="AD9" s="119"/>
      <c r="AE9" s="120" t="str">
        <f>IFERROR(+AE4/AE7/60,"")</f>
        <v/>
      </c>
      <c r="AF9" s="125"/>
      <c r="AG9" s="120" t="str">
        <f>IFERROR(+AG4/AG7/60,"")</f>
        <v/>
      </c>
      <c r="AH9" s="125"/>
      <c r="AI9" s="120" t="str">
        <f>IFERROR(+AI4/AI7/60,"")</f>
        <v/>
      </c>
      <c r="AJ9" s="119"/>
      <c r="AK9" s="120" t="str">
        <f>IFERROR(+AK4/AK7/60,"")</f>
        <v/>
      </c>
      <c r="AL9" s="119"/>
      <c r="AM9" s="119"/>
      <c r="AN9" s="113" t="s">
        <v>90</v>
      </c>
      <c r="AO9" s="119" t="e">
        <f>+AO4/AO7/60</f>
        <v>#REF!</v>
      </c>
      <c r="AP9" s="119"/>
      <c r="AQ9" s="119" t="e">
        <f>+AQ4/AQ7/60</f>
        <v>#REF!</v>
      </c>
      <c r="AR9" s="119"/>
    </row>
    <row r="10" spans="1:44" s="112" customFormat="1" ht="15.75">
      <c r="A10" s="113"/>
      <c r="B10" s="113" t="s">
        <v>91</v>
      </c>
      <c r="C10" s="118">
        <f>24*31</f>
        <v>744</v>
      </c>
      <c r="D10" s="119"/>
      <c r="E10" s="118">
        <f>24*31</f>
        <v>744</v>
      </c>
      <c r="F10" s="118"/>
      <c r="G10" s="118">
        <f>24*31</f>
        <v>744</v>
      </c>
      <c r="H10" s="119"/>
      <c r="I10" s="118">
        <f>24*31</f>
        <v>744</v>
      </c>
      <c r="J10" s="119"/>
      <c r="K10" s="118">
        <f>24*31</f>
        <v>744</v>
      </c>
      <c r="L10" s="119"/>
      <c r="M10" s="118">
        <f>24*31</f>
        <v>744</v>
      </c>
      <c r="N10" s="119"/>
      <c r="O10" s="118">
        <f>24*31</f>
        <v>744</v>
      </c>
      <c r="P10" s="119"/>
      <c r="Q10" s="119"/>
      <c r="R10" s="119" t="s">
        <v>91</v>
      </c>
      <c r="S10" s="120">
        <f>24*31</f>
        <v>744</v>
      </c>
      <c r="T10" s="120"/>
      <c r="U10" s="120">
        <f>24*31</f>
        <v>744</v>
      </c>
      <c r="V10" s="119"/>
      <c r="W10" s="120">
        <f>24*31</f>
        <v>744</v>
      </c>
      <c r="X10" s="118"/>
      <c r="Y10" s="120">
        <f>24*31</f>
        <v>744</v>
      </c>
      <c r="Z10" s="118"/>
      <c r="AA10" s="120">
        <f>24*31</f>
        <v>744</v>
      </c>
      <c r="AB10" s="118"/>
      <c r="AC10" s="120">
        <f>24*31</f>
        <v>744</v>
      </c>
      <c r="AD10" s="118"/>
      <c r="AE10" s="120">
        <f>24*31</f>
        <v>744</v>
      </c>
      <c r="AF10" s="118"/>
      <c r="AG10" s="120">
        <f>24*31</f>
        <v>744</v>
      </c>
      <c r="AH10" s="118"/>
      <c r="AI10" s="120">
        <f>24*31</f>
        <v>744</v>
      </c>
      <c r="AJ10" s="118"/>
      <c r="AK10" s="120">
        <f>24*31</f>
        <v>744</v>
      </c>
      <c r="AL10" s="119"/>
      <c r="AM10" s="119"/>
      <c r="AN10" s="126" t="s">
        <v>91</v>
      </c>
      <c r="AO10" s="119">
        <f>24*31</f>
        <v>744</v>
      </c>
      <c r="AP10" s="119"/>
      <c r="AQ10" s="119">
        <f>24*31</f>
        <v>744</v>
      </c>
      <c r="AR10" s="119"/>
    </row>
    <row r="11" spans="1:44" s="112" customFormat="1" ht="15.75">
      <c r="A11" s="113">
        <v>4</v>
      </c>
      <c r="B11" s="113" t="s">
        <v>92</v>
      </c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7">
        <v>4</v>
      </c>
      <c r="R11" s="126" t="s">
        <v>92</v>
      </c>
      <c r="S11" s="126"/>
      <c r="T11" s="126"/>
      <c r="U11" s="126"/>
      <c r="V11" s="128"/>
      <c r="W11" s="126"/>
      <c r="X11" s="119"/>
      <c r="Y11" s="126"/>
      <c r="Z11" s="119"/>
      <c r="AA11" s="126"/>
      <c r="AB11" s="119"/>
      <c r="AC11" s="126"/>
      <c r="AD11" s="119"/>
      <c r="AE11" s="126"/>
      <c r="AF11" s="129"/>
      <c r="AG11" s="126"/>
      <c r="AH11" s="129"/>
      <c r="AI11" s="126"/>
      <c r="AJ11" s="119"/>
      <c r="AK11" s="126"/>
      <c r="AL11" s="119"/>
      <c r="AM11" s="127">
        <v>4</v>
      </c>
      <c r="AN11" s="126" t="s">
        <v>92</v>
      </c>
      <c r="AO11" s="126"/>
      <c r="AP11" s="126"/>
      <c r="AQ11" s="126"/>
      <c r="AR11" s="126"/>
    </row>
    <row r="12" spans="1:44" ht="15.75">
      <c r="A12" s="113"/>
      <c r="B12" s="130" t="s">
        <v>93</v>
      </c>
      <c r="C12" s="131" t="s">
        <v>94</v>
      </c>
      <c r="D12" s="131" t="s">
        <v>95</v>
      </c>
      <c r="E12" s="131" t="s">
        <v>94</v>
      </c>
      <c r="F12" s="131" t="s">
        <v>95</v>
      </c>
      <c r="G12" s="131" t="s">
        <v>94</v>
      </c>
      <c r="H12" s="131" t="s">
        <v>95</v>
      </c>
      <c r="I12" s="131" t="s">
        <v>94</v>
      </c>
      <c r="J12" s="131" t="s">
        <v>95</v>
      </c>
      <c r="K12" s="131" t="s">
        <v>94</v>
      </c>
      <c r="L12" s="131" t="s">
        <v>95</v>
      </c>
      <c r="M12" s="131" t="s">
        <v>94</v>
      </c>
      <c r="N12" s="131" t="s">
        <v>95</v>
      </c>
      <c r="O12" s="131" t="s">
        <v>94</v>
      </c>
      <c r="P12" s="131" t="s">
        <v>95</v>
      </c>
      <c r="Q12" s="131"/>
      <c r="R12" s="131" t="s">
        <v>93</v>
      </c>
      <c r="S12" s="131" t="s">
        <v>94</v>
      </c>
      <c r="T12" s="131" t="s">
        <v>95</v>
      </c>
      <c r="U12" s="131" t="s">
        <v>94</v>
      </c>
      <c r="V12" s="131" t="s">
        <v>95</v>
      </c>
      <c r="W12" s="131" t="s">
        <v>94</v>
      </c>
      <c r="X12" s="131" t="s">
        <v>95</v>
      </c>
      <c r="Y12" s="131" t="s">
        <v>94</v>
      </c>
      <c r="Z12" s="131" t="s">
        <v>95</v>
      </c>
      <c r="AA12" s="131" t="s">
        <v>94</v>
      </c>
      <c r="AB12" s="131" t="s">
        <v>95</v>
      </c>
      <c r="AC12" s="131" t="s">
        <v>94</v>
      </c>
      <c r="AD12" s="131" t="s">
        <v>95</v>
      </c>
      <c r="AE12" s="131" t="s">
        <v>94</v>
      </c>
      <c r="AF12" s="131" t="s">
        <v>95</v>
      </c>
      <c r="AG12" s="131" t="s">
        <v>94</v>
      </c>
      <c r="AH12" s="131" t="s">
        <v>95</v>
      </c>
      <c r="AI12" s="131" t="s">
        <v>94</v>
      </c>
      <c r="AJ12" s="131" t="s">
        <v>95</v>
      </c>
      <c r="AK12" s="131" t="s">
        <v>94</v>
      </c>
      <c r="AL12" s="131" t="s">
        <v>95</v>
      </c>
      <c r="AM12" s="131"/>
      <c r="AN12" s="131" t="s">
        <v>93</v>
      </c>
      <c r="AO12" s="131" t="s">
        <v>94</v>
      </c>
      <c r="AP12" s="131" t="s">
        <v>95</v>
      </c>
      <c r="AQ12" s="131" t="s">
        <v>94</v>
      </c>
      <c r="AR12" s="131" t="s">
        <v>95</v>
      </c>
    </row>
    <row r="13" spans="1:44" ht="15.75">
      <c r="A13" s="113"/>
      <c r="B13" s="113" t="s">
        <v>96</v>
      </c>
      <c r="C13" s="132">
        <f>'Osthoff-1'!$K$35</f>
        <v>0</v>
      </c>
      <c r="D13" s="133">
        <f>C13*100/C10</f>
        <v>0</v>
      </c>
      <c r="E13" s="132">
        <f>'Osthoff-2'!$K$35</f>
        <v>0</v>
      </c>
      <c r="F13" s="132">
        <f>E13*100/E10</f>
        <v>0</v>
      </c>
      <c r="G13" s="132">
        <f>PTR!$K$35</f>
        <v>0</v>
      </c>
      <c r="H13" s="132">
        <f>G13*100/G10</f>
        <v>0</v>
      </c>
      <c r="I13" s="132">
        <f>Perble!$K$35</f>
        <v>0</v>
      </c>
      <c r="J13" s="132">
        <f>+I13*100/I10</f>
        <v>0</v>
      </c>
      <c r="K13" s="132">
        <f>'Merceriser-1'!$K$35</f>
        <v>0</v>
      </c>
      <c r="L13" s="132">
        <f>K13*100/K10</f>
        <v>0</v>
      </c>
      <c r="M13" s="132">
        <f>'Merceriser-2'!$K$35</f>
        <v>0</v>
      </c>
      <c r="N13" s="132">
        <f>M13*100/M10</f>
        <v>0</v>
      </c>
      <c r="O13" s="132">
        <f>NPS!$K$35</f>
        <v>0</v>
      </c>
      <c r="P13" s="132">
        <f>O13*100/O10</f>
        <v>0</v>
      </c>
      <c r="Q13" s="134"/>
      <c r="R13" s="134" t="s">
        <v>96</v>
      </c>
      <c r="S13" s="132">
        <f>'Xetma-2'!$K$35</f>
        <v>0</v>
      </c>
      <c r="T13" s="133">
        <f>S13*100/S10</f>
        <v>0</v>
      </c>
      <c r="U13" s="132">
        <f>'Xetma-3'!$K$35</f>
        <v>0</v>
      </c>
      <c r="V13" s="135">
        <f>U13*100/U10</f>
        <v>0</v>
      </c>
      <c r="W13" s="132">
        <f>'Lafer-1'!$K$35</f>
        <v>0</v>
      </c>
      <c r="X13" s="133">
        <f>+W13*100/W10</f>
        <v>0</v>
      </c>
      <c r="Y13" s="132">
        <f>'Lafer-2'!$K$35</f>
        <v>0</v>
      </c>
      <c r="Z13" s="133">
        <f>+Y13*100/Y10</f>
        <v>0</v>
      </c>
      <c r="AA13" s="132">
        <f>'Lafer-3'!$K$35</f>
        <v>0</v>
      </c>
      <c r="AB13" s="133">
        <f>+AA13*100/AA10</f>
        <v>0</v>
      </c>
      <c r="AC13" s="132">
        <f>'Lafer-4'!$K$35</f>
        <v>0</v>
      </c>
      <c r="AD13" s="133">
        <f>+AC13*100/AC10</f>
        <v>0</v>
      </c>
      <c r="AE13" s="132">
        <f>'Lafer-5-Raising'!$K$35</f>
        <v>0</v>
      </c>
      <c r="AF13" s="136">
        <f>AE13*100/AE10</f>
        <v>0</v>
      </c>
      <c r="AG13" s="132">
        <f>'Lafer-5-Shearing'!$K$35</f>
        <v>0</v>
      </c>
      <c r="AH13" s="136">
        <f>AG13*100/AG10</f>
        <v>0</v>
      </c>
      <c r="AI13" s="132">
        <f>'Lafer-4'!$K$35</f>
        <v>0</v>
      </c>
      <c r="AJ13" s="133">
        <f>+AI13*100/AI10</f>
        <v>0</v>
      </c>
      <c r="AK13" s="132">
        <f>Soaper!$K$35</f>
        <v>0</v>
      </c>
      <c r="AL13" s="137">
        <f>+AK13*100/AK10</f>
        <v>0</v>
      </c>
      <c r="AM13" s="126"/>
      <c r="AN13" s="126" t="s">
        <v>96</v>
      </c>
      <c r="AO13" s="119" t="e">
        <f>+#REF!</f>
        <v>#REF!</v>
      </c>
      <c r="AP13" s="137" t="e">
        <f>AO13*100/AO10</f>
        <v>#REF!</v>
      </c>
      <c r="AQ13" s="119" t="e">
        <f>+#REF!</f>
        <v>#REF!</v>
      </c>
      <c r="AR13" s="137" t="e">
        <f>AQ13*100/AQ10</f>
        <v>#REF!</v>
      </c>
    </row>
    <row r="14" spans="1:44" ht="15.75">
      <c r="A14" s="113"/>
      <c r="B14" s="113" t="s">
        <v>97</v>
      </c>
      <c r="C14" s="132">
        <f>'Osthoff-1'!$L$35</f>
        <v>0</v>
      </c>
      <c r="D14" s="133">
        <f>C14*100/C10</f>
        <v>0</v>
      </c>
      <c r="E14" s="132">
        <f>'Osthoff-2'!$L$35</f>
        <v>0</v>
      </c>
      <c r="F14" s="132">
        <f>E14*100/E10</f>
        <v>0</v>
      </c>
      <c r="G14" s="132">
        <f>PTR!$L$35</f>
        <v>0</v>
      </c>
      <c r="H14" s="132">
        <f>G14*100/G10</f>
        <v>0</v>
      </c>
      <c r="I14" s="132">
        <f>Perble!$L$35</f>
        <v>0</v>
      </c>
      <c r="J14" s="132">
        <f>+I14*100/I10</f>
        <v>0</v>
      </c>
      <c r="K14" s="132">
        <f>'Merceriser-1'!$L$35</f>
        <v>0</v>
      </c>
      <c r="L14" s="132">
        <f>K14*100/K10</f>
        <v>0</v>
      </c>
      <c r="M14" s="132">
        <f>'Merceriser-2'!$L$35</f>
        <v>0</v>
      </c>
      <c r="N14" s="132">
        <f>M14*100/M10</f>
        <v>0</v>
      </c>
      <c r="O14" s="132">
        <f>NPS!$L$35</f>
        <v>0</v>
      </c>
      <c r="P14" s="132">
        <f>O14*100/O10</f>
        <v>0</v>
      </c>
      <c r="Q14" s="134"/>
      <c r="R14" s="134" t="s">
        <v>97</v>
      </c>
      <c r="S14" s="132">
        <f>'Xetma-2'!$L$35</f>
        <v>0</v>
      </c>
      <c r="T14" s="133">
        <f>S14*100/S10</f>
        <v>0</v>
      </c>
      <c r="U14" s="132">
        <f>'Xetma-3'!$L$35</f>
        <v>0</v>
      </c>
      <c r="V14" s="135">
        <f>U14*100/U10</f>
        <v>0</v>
      </c>
      <c r="W14" s="132">
        <f>'Lafer-1'!$L$35</f>
        <v>0</v>
      </c>
      <c r="X14" s="133">
        <f>+W14*100/W10</f>
        <v>0</v>
      </c>
      <c r="Y14" s="132">
        <f>'Lafer-2'!$L$35</f>
        <v>0</v>
      </c>
      <c r="Z14" s="133">
        <f>+Y14*100/Y10</f>
        <v>0</v>
      </c>
      <c r="AA14" s="132">
        <f>'Lafer-3'!$L$35</f>
        <v>0</v>
      </c>
      <c r="AB14" s="133">
        <f>+AA14*100/AA10</f>
        <v>0</v>
      </c>
      <c r="AC14" s="132">
        <f>'Lafer-4'!$L$35</f>
        <v>0</v>
      </c>
      <c r="AD14" s="133">
        <f>+AC14*100/AC10</f>
        <v>0</v>
      </c>
      <c r="AE14" s="132">
        <f>'Lafer-5-Raising'!$L$35</f>
        <v>0</v>
      </c>
      <c r="AF14" s="136">
        <f>AE14*100/AE10</f>
        <v>0</v>
      </c>
      <c r="AG14" s="132">
        <f>'Lafer-5-Shearing'!$L$35</f>
        <v>0</v>
      </c>
      <c r="AH14" s="136">
        <f>AG14*100/AG10</f>
        <v>0</v>
      </c>
      <c r="AI14" s="132">
        <f>'Lafer-4'!$L$35</f>
        <v>0</v>
      </c>
      <c r="AJ14" s="133">
        <f>+AI14*100/AI10</f>
        <v>0</v>
      </c>
      <c r="AK14" s="132">
        <f>Soaper!$L$35</f>
        <v>0</v>
      </c>
      <c r="AL14" s="137">
        <f>+AK14*100/AK10</f>
        <v>0</v>
      </c>
      <c r="AM14" s="126"/>
      <c r="AN14" s="126" t="s">
        <v>97</v>
      </c>
      <c r="AO14" s="119" t="e">
        <f>+#REF!</f>
        <v>#REF!</v>
      </c>
      <c r="AP14" s="137" t="e">
        <f>AO14*100/AO10</f>
        <v>#REF!</v>
      </c>
      <c r="AQ14" s="119" t="e">
        <f>+#REF!</f>
        <v>#REF!</v>
      </c>
      <c r="AR14" s="137" t="e">
        <f>AQ14*100/AQ10</f>
        <v>#REF!</v>
      </c>
    </row>
    <row r="15" spans="1:44" ht="15.75">
      <c r="A15" s="113"/>
      <c r="B15" s="138" t="s">
        <v>98</v>
      </c>
      <c r="C15" s="139">
        <f t="shared" ref="C15:P15" si="0">SUM(C13:C14)</f>
        <v>0</v>
      </c>
      <c r="D15" s="140">
        <f t="shared" si="0"/>
        <v>0</v>
      </c>
      <c r="E15" s="139">
        <f t="shared" si="0"/>
        <v>0</v>
      </c>
      <c r="F15" s="139">
        <f t="shared" si="0"/>
        <v>0</v>
      </c>
      <c r="G15" s="139">
        <f t="shared" si="0"/>
        <v>0</v>
      </c>
      <c r="H15" s="139">
        <f t="shared" si="0"/>
        <v>0</v>
      </c>
      <c r="I15" s="139">
        <f t="shared" ref="I15:K15" si="1">SUM(I13:I14)</f>
        <v>0</v>
      </c>
      <c r="J15" s="141">
        <f t="shared" si="0"/>
        <v>0</v>
      </c>
      <c r="K15" s="139">
        <f t="shared" si="1"/>
        <v>0</v>
      </c>
      <c r="L15" s="139">
        <f t="shared" si="0"/>
        <v>0</v>
      </c>
      <c r="M15" s="139">
        <f t="shared" si="0"/>
        <v>0</v>
      </c>
      <c r="N15" s="139">
        <f t="shared" si="0"/>
        <v>0</v>
      </c>
      <c r="O15" s="139">
        <f t="shared" ref="O15" si="2">SUM(O13:O14)</f>
        <v>0</v>
      </c>
      <c r="P15" s="139">
        <f t="shared" si="0"/>
        <v>0</v>
      </c>
      <c r="Q15" s="139"/>
      <c r="R15" s="139" t="s">
        <v>98</v>
      </c>
      <c r="S15" s="139">
        <f t="shared" ref="S15:AL15" si="3">SUM(S13:S14)</f>
        <v>0</v>
      </c>
      <c r="T15" s="140">
        <f t="shared" si="3"/>
        <v>0</v>
      </c>
      <c r="U15" s="139">
        <f t="shared" si="3"/>
        <v>0</v>
      </c>
      <c r="V15" s="140">
        <f t="shared" si="3"/>
        <v>0</v>
      </c>
      <c r="W15" s="139">
        <f t="shared" si="3"/>
        <v>0</v>
      </c>
      <c r="X15" s="140">
        <f t="shared" si="3"/>
        <v>0</v>
      </c>
      <c r="Y15" s="139">
        <f t="shared" si="3"/>
        <v>0</v>
      </c>
      <c r="Z15" s="140">
        <f t="shared" si="3"/>
        <v>0</v>
      </c>
      <c r="AA15" s="139">
        <f t="shared" si="3"/>
        <v>0</v>
      </c>
      <c r="AB15" s="140">
        <f t="shared" si="3"/>
        <v>0</v>
      </c>
      <c r="AC15" s="139">
        <f t="shared" si="3"/>
        <v>0</v>
      </c>
      <c r="AD15" s="140">
        <f t="shared" si="3"/>
        <v>0</v>
      </c>
      <c r="AE15" s="139">
        <f t="shared" si="3"/>
        <v>0</v>
      </c>
      <c r="AF15" s="140">
        <f t="shared" si="3"/>
        <v>0</v>
      </c>
      <c r="AG15" s="139">
        <f t="shared" si="3"/>
        <v>0</v>
      </c>
      <c r="AH15" s="140">
        <f t="shared" si="3"/>
        <v>0</v>
      </c>
      <c r="AI15" s="139">
        <f t="shared" si="3"/>
        <v>0</v>
      </c>
      <c r="AJ15" s="140">
        <f t="shared" si="3"/>
        <v>0</v>
      </c>
      <c r="AK15" s="139">
        <f t="shared" si="3"/>
        <v>0</v>
      </c>
      <c r="AL15" s="142">
        <f t="shared" si="3"/>
        <v>0</v>
      </c>
      <c r="AM15" s="143"/>
      <c r="AN15" s="143" t="s">
        <v>98</v>
      </c>
      <c r="AO15" s="142" t="e">
        <f>SUM(AO13:AO14)</f>
        <v>#REF!</v>
      </c>
      <c r="AP15" s="142" t="e">
        <f>SUM(AP13:AP14)</f>
        <v>#REF!</v>
      </c>
      <c r="AQ15" s="142" t="e">
        <f>SUM(AQ13:AQ14)</f>
        <v>#REF!</v>
      </c>
      <c r="AR15" s="142" t="e">
        <f>SUM(AR13:AR14)</f>
        <v>#REF!</v>
      </c>
    </row>
    <row r="16" spans="1:44" ht="15.75">
      <c r="A16" s="113"/>
      <c r="B16" s="113"/>
      <c r="C16" s="126"/>
      <c r="D16" s="126"/>
      <c r="E16" s="126"/>
      <c r="F16" s="126"/>
      <c r="G16" s="126"/>
      <c r="H16" s="126"/>
      <c r="I16" s="126"/>
      <c r="J16" s="144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8"/>
      <c r="W16" s="126"/>
      <c r="X16" s="137"/>
      <c r="Y16" s="126"/>
      <c r="Z16" s="137"/>
      <c r="AA16" s="126"/>
      <c r="AB16" s="137"/>
      <c r="AC16" s="126"/>
      <c r="AD16" s="137"/>
      <c r="AE16" s="126"/>
      <c r="AF16" s="129"/>
      <c r="AG16" s="126"/>
      <c r="AH16" s="129"/>
      <c r="AI16" s="126"/>
      <c r="AJ16" s="137"/>
      <c r="AK16" s="126"/>
      <c r="AL16" s="137"/>
      <c r="AM16" s="126"/>
      <c r="AN16" s="126"/>
      <c r="AO16" s="126"/>
      <c r="AP16" s="126"/>
      <c r="AQ16" s="126"/>
      <c r="AR16" s="126"/>
    </row>
    <row r="17" spans="1:44" ht="15.75">
      <c r="A17" s="113">
        <v>5</v>
      </c>
      <c r="B17" s="113" t="s">
        <v>99</v>
      </c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7">
        <v>5</v>
      </c>
      <c r="R17" s="126" t="s">
        <v>99</v>
      </c>
      <c r="S17" s="126"/>
      <c r="T17" s="126"/>
      <c r="U17" s="126"/>
      <c r="V17" s="128"/>
      <c r="W17" s="126"/>
      <c r="X17" s="137"/>
      <c r="Y17" s="126"/>
      <c r="Z17" s="137"/>
      <c r="AA17" s="126"/>
      <c r="AB17" s="137"/>
      <c r="AC17" s="126"/>
      <c r="AD17" s="137"/>
      <c r="AE17" s="126"/>
      <c r="AF17" s="129"/>
      <c r="AG17" s="126"/>
      <c r="AH17" s="129"/>
      <c r="AI17" s="126"/>
      <c r="AJ17" s="137"/>
      <c r="AK17" s="126"/>
      <c r="AL17" s="137"/>
      <c r="AM17" s="127">
        <v>5</v>
      </c>
      <c r="AN17" s="126" t="s">
        <v>99</v>
      </c>
      <c r="AO17" s="126"/>
      <c r="AP17" s="126"/>
      <c r="AQ17" s="126"/>
      <c r="AR17" s="126"/>
    </row>
    <row r="18" spans="1:44" ht="15.75">
      <c r="A18" s="113"/>
      <c r="B18" s="113" t="s">
        <v>100</v>
      </c>
      <c r="C18" s="126"/>
      <c r="D18" s="126"/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 t="s">
        <v>100</v>
      </c>
      <c r="S18" s="126"/>
      <c r="T18" s="126"/>
      <c r="U18" s="126"/>
      <c r="V18" s="128"/>
      <c r="W18" s="126"/>
      <c r="X18" s="137"/>
      <c r="Y18" s="126"/>
      <c r="Z18" s="137"/>
      <c r="AA18" s="126"/>
      <c r="AB18" s="137"/>
      <c r="AC18" s="126"/>
      <c r="AD18" s="137"/>
      <c r="AE18" s="126"/>
      <c r="AF18" s="129"/>
      <c r="AG18" s="126"/>
      <c r="AH18" s="129"/>
      <c r="AI18" s="126"/>
      <c r="AJ18" s="137"/>
      <c r="AK18" s="126"/>
      <c r="AL18" s="137"/>
      <c r="AM18" s="126"/>
      <c r="AN18" s="126" t="s">
        <v>100</v>
      </c>
      <c r="AO18" s="126"/>
      <c r="AP18" s="126"/>
      <c r="AQ18" s="126"/>
      <c r="AR18" s="126"/>
    </row>
    <row r="19" spans="1:44" ht="15.75">
      <c r="A19" s="113"/>
      <c r="B19" s="113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19"/>
      <c r="S19" s="126"/>
      <c r="T19" s="126"/>
      <c r="U19" s="126"/>
      <c r="V19" s="128"/>
      <c r="W19" s="126"/>
      <c r="X19" s="137"/>
      <c r="Y19" s="126"/>
      <c r="Z19" s="137"/>
      <c r="AA19" s="126"/>
      <c r="AB19" s="137"/>
      <c r="AC19" s="126"/>
      <c r="AD19" s="137"/>
      <c r="AE19" s="126"/>
      <c r="AF19" s="129"/>
      <c r="AG19" s="126"/>
      <c r="AH19" s="129"/>
      <c r="AI19" s="126"/>
      <c r="AJ19" s="137"/>
      <c r="AK19" s="126"/>
      <c r="AL19" s="137"/>
      <c r="AM19" s="126"/>
      <c r="AN19" s="119"/>
      <c r="AO19" s="126"/>
      <c r="AP19" s="126"/>
      <c r="AQ19" s="126"/>
      <c r="AR19" s="126"/>
    </row>
    <row r="20" spans="1:44" ht="15.75">
      <c r="A20" s="114"/>
      <c r="B20" s="113" t="s">
        <v>101</v>
      </c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  <c r="N20" s="126"/>
      <c r="O20" s="126"/>
      <c r="P20" s="126"/>
      <c r="Q20" s="119"/>
      <c r="R20" s="126" t="s">
        <v>101</v>
      </c>
      <c r="S20" s="126"/>
      <c r="T20" s="126"/>
      <c r="U20" s="126"/>
      <c r="V20" s="128"/>
      <c r="W20" s="126"/>
      <c r="X20" s="137"/>
      <c r="Y20" s="126"/>
      <c r="Z20" s="137"/>
      <c r="AA20" s="126"/>
      <c r="AB20" s="137"/>
      <c r="AC20" s="126"/>
      <c r="AD20" s="137"/>
      <c r="AE20" s="126"/>
      <c r="AF20" s="129"/>
      <c r="AG20" s="126"/>
      <c r="AH20" s="129"/>
      <c r="AI20" s="126"/>
      <c r="AJ20" s="137"/>
      <c r="AK20" s="126"/>
      <c r="AL20" s="137"/>
      <c r="AM20" s="119"/>
      <c r="AN20" s="126" t="s">
        <v>101</v>
      </c>
      <c r="AO20" s="126"/>
      <c r="AP20" s="126"/>
      <c r="AQ20" s="126"/>
      <c r="AR20" s="126"/>
    </row>
    <row r="21" spans="1:44" ht="15.75">
      <c r="A21" s="113"/>
      <c r="B21" s="130"/>
      <c r="C21" s="131" t="s">
        <v>94</v>
      </c>
      <c r="D21" s="131" t="s">
        <v>95</v>
      </c>
      <c r="E21" s="131" t="s">
        <v>94</v>
      </c>
      <c r="F21" s="131" t="s">
        <v>95</v>
      </c>
      <c r="G21" s="131" t="s">
        <v>94</v>
      </c>
      <c r="H21" s="131" t="s">
        <v>95</v>
      </c>
      <c r="I21" s="131" t="s">
        <v>94</v>
      </c>
      <c r="J21" s="131" t="s">
        <v>95</v>
      </c>
      <c r="K21" s="131" t="s">
        <v>94</v>
      </c>
      <c r="L21" s="131" t="s">
        <v>95</v>
      </c>
      <c r="M21" s="131" t="s">
        <v>94</v>
      </c>
      <c r="N21" s="131" t="s">
        <v>95</v>
      </c>
      <c r="O21" s="131" t="s">
        <v>94</v>
      </c>
      <c r="P21" s="131" t="s">
        <v>95</v>
      </c>
      <c r="Q21" s="131"/>
      <c r="R21" s="131"/>
      <c r="S21" s="131" t="s">
        <v>94</v>
      </c>
      <c r="T21" s="131" t="s">
        <v>95</v>
      </c>
      <c r="U21" s="131" t="s">
        <v>94</v>
      </c>
      <c r="V21" s="131" t="s">
        <v>95</v>
      </c>
      <c r="W21" s="131" t="s">
        <v>94</v>
      </c>
      <c r="X21" s="131" t="s">
        <v>95</v>
      </c>
      <c r="Y21" s="131" t="s">
        <v>94</v>
      </c>
      <c r="Z21" s="131" t="s">
        <v>95</v>
      </c>
      <c r="AA21" s="131" t="s">
        <v>94</v>
      </c>
      <c r="AB21" s="131" t="s">
        <v>95</v>
      </c>
      <c r="AC21" s="131" t="s">
        <v>94</v>
      </c>
      <c r="AD21" s="131" t="s">
        <v>95</v>
      </c>
      <c r="AE21" s="131" t="s">
        <v>94</v>
      </c>
      <c r="AF21" s="131" t="s">
        <v>95</v>
      </c>
      <c r="AG21" s="131" t="s">
        <v>94</v>
      </c>
      <c r="AH21" s="131" t="s">
        <v>95</v>
      </c>
      <c r="AI21" s="131" t="s">
        <v>94</v>
      </c>
      <c r="AJ21" s="131" t="s">
        <v>95</v>
      </c>
      <c r="AK21" s="131" t="s">
        <v>94</v>
      </c>
      <c r="AL21" s="131" t="s">
        <v>95</v>
      </c>
      <c r="AM21" s="131"/>
      <c r="AN21" s="131"/>
      <c r="AO21" s="131" t="s">
        <v>94</v>
      </c>
      <c r="AP21" s="131" t="s">
        <v>95</v>
      </c>
      <c r="AQ21" s="131" t="s">
        <v>94</v>
      </c>
      <c r="AR21" s="131" t="s">
        <v>95</v>
      </c>
    </row>
    <row r="22" spans="1:44" s="112" customFormat="1" ht="15.75">
      <c r="A22" s="114"/>
      <c r="B22" s="113" t="s">
        <v>102</v>
      </c>
      <c r="C22" s="119">
        <f>'Osthoff-1'!$K$35</f>
        <v>0</v>
      </c>
      <c r="D22" s="119">
        <f>C22*100/C10</f>
        <v>0</v>
      </c>
      <c r="E22" s="132">
        <f>'Osthoff-2'!$K$35</f>
        <v>0</v>
      </c>
      <c r="F22" s="132">
        <f>E22*100/E10</f>
        <v>0</v>
      </c>
      <c r="G22" s="132">
        <f>PTR!$K$35</f>
        <v>0</v>
      </c>
      <c r="H22" s="132">
        <f>G22*100/G10</f>
        <v>0</v>
      </c>
      <c r="I22" s="132">
        <f>Perble!$K$35</f>
        <v>0</v>
      </c>
      <c r="J22" s="132">
        <f>+I22/I10*100</f>
        <v>0</v>
      </c>
      <c r="K22" s="132">
        <f>'Merceriser-1'!$K$35</f>
        <v>0</v>
      </c>
      <c r="L22" s="119">
        <f>K22*100/K10</f>
        <v>0</v>
      </c>
      <c r="M22" s="132">
        <f>'Merceriser-2'!$K$35</f>
        <v>0</v>
      </c>
      <c r="N22" s="119">
        <f>M22*100/M10</f>
        <v>0</v>
      </c>
      <c r="O22" s="132">
        <f>NPS!K35</f>
        <v>0</v>
      </c>
      <c r="P22" s="119">
        <f>O22*100/O10</f>
        <v>0</v>
      </c>
      <c r="Q22" s="119"/>
      <c r="R22" s="119" t="s">
        <v>102</v>
      </c>
      <c r="S22" s="132">
        <f>'Xetma-2'!$K$35</f>
        <v>0</v>
      </c>
      <c r="T22" s="119">
        <f>S22*100/S10</f>
        <v>0</v>
      </c>
      <c r="U22" s="132">
        <f>'Xetma-3'!$K$35</f>
        <v>0</v>
      </c>
      <c r="V22" s="124">
        <f>U22*100/U10</f>
        <v>0</v>
      </c>
      <c r="W22" s="132">
        <f>'Lafer-1'!$K$35</f>
        <v>0</v>
      </c>
      <c r="X22" s="119">
        <f>+W22*100/W10</f>
        <v>0</v>
      </c>
      <c r="Y22" s="132">
        <f>'Lafer-2'!$K$35</f>
        <v>0</v>
      </c>
      <c r="Z22" s="119">
        <f>+Y22*100/Y10</f>
        <v>0</v>
      </c>
      <c r="AA22" s="132">
        <f>'Lafer-3'!$K$35</f>
        <v>0</v>
      </c>
      <c r="AB22" s="119">
        <f>+AA22*100/AA10</f>
        <v>0</v>
      </c>
      <c r="AC22" s="132">
        <f>'Lafer-4'!$K$35</f>
        <v>0</v>
      </c>
      <c r="AD22" s="119">
        <f>+AC22*100/AC10</f>
        <v>0</v>
      </c>
      <c r="AE22" s="132">
        <f>'Lafer-5-Raising'!$K$35</f>
        <v>0</v>
      </c>
      <c r="AF22" s="125">
        <f>AE22*100/AE10</f>
        <v>0</v>
      </c>
      <c r="AG22" s="132">
        <f>'Lafer-5-Shearing'!$K$35</f>
        <v>0</v>
      </c>
      <c r="AH22" s="125">
        <f>AG22*100/AG10</f>
        <v>0</v>
      </c>
      <c r="AI22" s="132">
        <f>'Lafer-4'!$K$35</f>
        <v>0</v>
      </c>
      <c r="AJ22" s="119">
        <f>+AI22*100/AI10</f>
        <v>0</v>
      </c>
      <c r="AK22" s="132">
        <f>Soaper!$K$35</f>
        <v>0</v>
      </c>
      <c r="AL22" s="119">
        <f>+AK22*100/AK10</f>
        <v>0</v>
      </c>
      <c r="AM22" s="119"/>
      <c r="AN22" s="119" t="s">
        <v>102</v>
      </c>
      <c r="AO22" s="119" t="e">
        <f>+#REF!</f>
        <v>#REF!</v>
      </c>
      <c r="AP22" s="119" t="e">
        <f>AO22*100/AO10</f>
        <v>#REF!</v>
      </c>
      <c r="AQ22" s="119" t="e">
        <f>+#REF!</f>
        <v>#REF!</v>
      </c>
      <c r="AR22" s="119" t="e">
        <f>AQ22*100/AQ10</f>
        <v>#REF!</v>
      </c>
    </row>
    <row r="23" spans="1:44" s="112" customFormat="1" ht="15.75">
      <c r="A23" s="114"/>
      <c r="B23" s="113" t="s">
        <v>103</v>
      </c>
      <c r="C23" s="119">
        <f>'Osthoff-1'!L35</f>
        <v>0</v>
      </c>
      <c r="D23" s="119">
        <f>C23*100/C10</f>
        <v>0</v>
      </c>
      <c r="E23" s="132">
        <f>'Osthoff-1'!$L$35</f>
        <v>0</v>
      </c>
      <c r="F23" s="132">
        <f>E23*100/E10</f>
        <v>0</v>
      </c>
      <c r="G23" s="132">
        <f>PTR!$L$35</f>
        <v>0</v>
      </c>
      <c r="H23" s="132">
        <f>G23*100/G10</f>
        <v>0</v>
      </c>
      <c r="I23" s="132">
        <f>Perble!L35</f>
        <v>0</v>
      </c>
      <c r="J23" s="132">
        <f>+I23/I10*100</f>
        <v>0</v>
      </c>
      <c r="K23" s="132">
        <f>'Merceriser-1'!L35</f>
        <v>0</v>
      </c>
      <c r="L23" s="119">
        <f>K23*100/K10</f>
        <v>0</v>
      </c>
      <c r="M23" s="132">
        <f>'Merceriser-2'!L35</f>
        <v>0</v>
      </c>
      <c r="N23" s="119">
        <f>M23*100/M10</f>
        <v>0</v>
      </c>
      <c r="O23" s="132">
        <f>NPS!L35</f>
        <v>0</v>
      </c>
      <c r="P23" s="119">
        <f>O23*100/O10</f>
        <v>0</v>
      </c>
      <c r="Q23" s="119"/>
      <c r="R23" s="119" t="s">
        <v>103</v>
      </c>
      <c r="S23" s="132">
        <f>'Xetma-2'!L35</f>
        <v>0</v>
      </c>
      <c r="T23" s="119">
        <f>S23*100/S10</f>
        <v>0</v>
      </c>
      <c r="U23" s="132">
        <f>'Xetma-3'!$L$35</f>
        <v>0</v>
      </c>
      <c r="V23" s="124">
        <f>U23*100/U10</f>
        <v>0</v>
      </c>
      <c r="W23" s="132">
        <f>'Lafer-1'!$L$35</f>
        <v>0</v>
      </c>
      <c r="X23" s="119">
        <f>+W23*100/W10</f>
        <v>0</v>
      </c>
      <c r="Y23" s="132">
        <f>'Lafer-2'!$L$35</f>
        <v>0</v>
      </c>
      <c r="Z23" s="119">
        <f>+Y23*100/Y10</f>
        <v>0</v>
      </c>
      <c r="AA23" s="132">
        <f>'Lafer-3'!$L$35</f>
        <v>0</v>
      </c>
      <c r="AB23" s="119">
        <f>+AA23*100/AA10</f>
        <v>0</v>
      </c>
      <c r="AC23" s="132">
        <f>'Lafer-4'!$L$35</f>
        <v>0</v>
      </c>
      <c r="AD23" s="119">
        <f>+AC23*100/AC10</f>
        <v>0</v>
      </c>
      <c r="AE23" s="132">
        <f>'Lafer-5-Raising'!$L$35</f>
        <v>0</v>
      </c>
      <c r="AF23" s="125">
        <f>AE23*100/AE10</f>
        <v>0</v>
      </c>
      <c r="AG23" s="132">
        <f>'Lafer-5-Shearing'!$L$35</f>
        <v>0</v>
      </c>
      <c r="AH23" s="125">
        <f>AG23*100/AG10</f>
        <v>0</v>
      </c>
      <c r="AI23" s="132">
        <f>'Lafer-4'!$L$35</f>
        <v>0</v>
      </c>
      <c r="AJ23" s="119">
        <f>+AI23*100/AI10</f>
        <v>0</v>
      </c>
      <c r="AK23" s="132">
        <f>Soaper!$L$35</f>
        <v>0</v>
      </c>
      <c r="AL23" s="119">
        <f>+AK23*100/AK10</f>
        <v>0</v>
      </c>
      <c r="AM23" s="119"/>
      <c r="AN23" s="119" t="s">
        <v>103</v>
      </c>
      <c r="AO23" s="119" t="e">
        <f>+#REF!</f>
        <v>#REF!</v>
      </c>
      <c r="AP23" s="119" t="e">
        <f>AO23*100/AO10</f>
        <v>#REF!</v>
      </c>
      <c r="AQ23" s="119" t="e">
        <f>+#REF!</f>
        <v>#REF!</v>
      </c>
      <c r="AR23" s="119" t="e">
        <f>AQ23*100/AQ10</f>
        <v>#REF!</v>
      </c>
    </row>
    <row r="24" spans="1:44" s="112" customFormat="1" ht="15.75">
      <c r="A24" s="113"/>
      <c r="B24" s="113" t="s">
        <v>104</v>
      </c>
      <c r="C24" s="119">
        <f>'Osthoff-1'!$O$35</f>
        <v>0</v>
      </c>
      <c r="D24" s="119">
        <f>C24*100/C10</f>
        <v>0</v>
      </c>
      <c r="E24" s="132">
        <f>'Osthoff-2'!$O$35</f>
        <v>0</v>
      </c>
      <c r="F24" s="132">
        <f>E24*100/E10</f>
        <v>0</v>
      </c>
      <c r="G24" s="132">
        <f>PTR!$O$35</f>
        <v>0</v>
      </c>
      <c r="H24" s="132">
        <f>G24*100/G10</f>
        <v>0</v>
      </c>
      <c r="I24" s="132">
        <f>Perble!$O$35</f>
        <v>0</v>
      </c>
      <c r="J24" s="132">
        <f>+I24/I10*100</f>
        <v>0</v>
      </c>
      <c r="K24" s="132">
        <f>'Merceriser-1'!O35</f>
        <v>0</v>
      </c>
      <c r="L24" s="119">
        <f>K24*100/K10</f>
        <v>0</v>
      </c>
      <c r="M24" s="132">
        <f>'Merceriser-2'!O35</f>
        <v>0</v>
      </c>
      <c r="N24" s="119">
        <f>M24*100/M10</f>
        <v>0</v>
      </c>
      <c r="O24" s="132">
        <f>NPS!O35</f>
        <v>0</v>
      </c>
      <c r="P24" s="119">
        <f>O24*100/O10</f>
        <v>0</v>
      </c>
      <c r="Q24" s="126"/>
      <c r="R24" s="119" t="s">
        <v>104</v>
      </c>
      <c r="S24" s="132">
        <f>'Xetma-2'!O35</f>
        <v>0</v>
      </c>
      <c r="T24" s="119">
        <f>S24*100/S10</f>
        <v>0</v>
      </c>
      <c r="U24" s="132">
        <f>'Xetma-3'!$O$35</f>
        <v>0</v>
      </c>
      <c r="V24" s="124">
        <f>U24*100/U10</f>
        <v>0</v>
      </c>
      <c r="W24" s="132">
        <f>'Lafer-1'!$O$35</f>
        <v>0</v>
      </c>
      <c r="X24" s="119">
        <f>+W24*100/W10</f>
        <v>0</v>
      </c>
      <c r="Y24" s="132">
        <f>'Lafer-2'!$O$35</f>
        <v>0</v>
      </c>
      <c r="Z24" s="119">
        <f>+Y24*100/Y10</f>
        <v>0</v>
      </c>
      <c r="AA24" s="132">
        <f>'Lafer-3'!$O$35</f>
        <v>0</v>
      </c>
      <c r="AB24" s="119">
        <f>+AA24*100/AA10</f>
        <v>0</v>
      </c>
      <c r="AC24" s="132">
        <f>'Lafer-4'!$O$35</f>
        <v>0</v>
      </c>
      <c r="AD24" s="119">
        <f>+AC24*100/AC10</f>
        <v>0</v>
      </c>
      <c r="AE24" s="132">
        <f>'Lafer-5-Raising'!$O$35</f>
        <v>0</v>
      </c>
      <c r="AF24" s="125">
        <f>AE24*100/AE10</f>
        <v>0</v>
      </c>
      <c r="AG24" s="132">
        <f>'Lafer-5-Shearing'!$O$35</f>
        <v>0</v>
      </c>
      <c r="AH24" s="125">
        <f>AG24*100/AG10</f>
        <v>0</v>
      </c>
      <c r="AI24" s="132">
        <f>'Lafer-4'!$O$35</f>
        <v>0</v>
      </c>
      <c r="AJ24" s="119">
        <f>+AI24*100/AI10</f>
        <v>0</v>
      </c>
      <c r="AK24" s="132">
        <f>Soaper!$O$35</f>
        <v>0</v>
      </c>
      <c r="AL24" s="119">
        <f>+AK24*100/AK10</f>
        <v>0</v>
      </c>
      <c r="AM24" s="126"/>
      <c r="AN24" s="119" t="s">
        <v>104</v>
      </c>
      <c r="AO24" s="119" t="e">
        <f>+#REF!</f>
        <v>#REF!</v>
      </c>
      <c r="AP24" s="119" t="e">
        <f>AO24*100/AO10</f>
        <v>#REF!</v>
      </c>
      <c r="AQ24" s="119" t="e">
        <f>+#REF!</f>
        <v>#REF!</v>
      </c>
      <c r="AR24" s="119" t="e">
        <f>AQ24*100/AQ10</f>
        <v>#REF!</v>
      </c>
    </row>
    <row r="25" spans="1:44" s="112" customFormat="1" ht="15.75">
      <c r="A25" s="113"/>
      <c r="B25" s="113" t="s">
        <v>105</v>
      </c>
      <c r="C25" s="119">
        <f>'Osthoff-1'!$P$35</f>
        <v>0</v>
      </c>
      <c r="D25" s="119">
        <f>C25*100/C10</f>
        <v>0</v>
      </c>
      <c r="E25" s="132">
        <f>'Osthoff-2'!$P$35</f>
        <v>0</v>
      </c>
      <c r="F25" s="132">
        <f>E25*100/E10</f>
        <v>0</v>
      </c>
      <c r="G25" s="132">
        <f>PTR!$P$35</f>
        <v>0</v>
      </c>
      <c r="H25" s="132">
        <f>G25*100/G10</f>
        <v>0</v>
      </c>
      <c r="I25" s="132">
        <f>Perble!$P$35</f>
        <v>0</v>
      </c>
      <c r="J25" s="132">
        <f>+I25/I10*100</f>
        <v>0</v>
      </c>
      <c r="K25" s="132">
        <f>'Merceriser-1'!P35</f>
        <v>0</v>
      </c>
      <c r="L25" s="119">
        <f>+K25/K10</f>
        <v>0</v>
      </c>
      <c r="M25" s="132">
        <f>'Merceriser-2'!P35</f>
        <v>0</v>
      </c>
      <c r="N25" s="119">
        <f>+M25/M10*100</f>
        <v>0</v>
      </c>
      <c r="O25" s="132">
        <f>NPS!P35</f>
        <v>0</v>
      </c>
      <c r="P25" s="119">
        <f>O25*100/O10</f>
        <v>0</v>
      </c>
      <c r="Q25" s="126"/>
      <c r="R25" s="119" t="s">
        <v>105</v>
      </c>
      <c r="S25" s="132">
        <f>'Xetma-2'!P35</f>
        <v>0</v>
      </c>
      <c r="T25" s="119">
        <f>S25*100/S10</f>
        <v>0</v>
      </c>
      <c r="U25" s="132">
        <f>'Xetma-3'!$P$35</f>
        <v>0</v>
      </c>
      <c r="V25" s="124">
        <f>U25*100/U10</f>
        <v>0</v>
      </c>
      <c r="W25" s="132">
        <f>'Lafer-1'!$P$35</f>
        <v>0</v>
      </c>
      <c r="X25" s="119">
        <f>+W25*100/W10</f>
        <v>0</v>
      </c>
      <c r="Y25" s="132">
        <f>'Lafer-2'!$P$35</f>
        <v>0</v>
      </c>
      <c r="Z25" s="119">
        <f>+Y25*100/Y10</f>
        <v>0</v>
      </c>
      <c r="AA25" s="132">
        <f>'Lafer-3'!$P$35</f>
        <v>0</v>
      </c>
      <c r="AB25" s="119">
        <f>+AA25*100/AA10</f>
        <v>0</v>
      </c>
      <c r="AC25" s="132">
        <f>'Lafer-4'!$P$35</f>
        <v>0</v>
      </c>
      <c r="AD25" s="119">
        <f>+AC25*100/AC10</f>
        <v>0</v>
      </c>
      <c r="AE25" s="132">
        <f>'Lafer-5-Raising'!$P$35</f>
        <v>0</v>
      </c>
      <c r="AF25" s="125">
        <f>AE25*100/AE10</f>
        <v>0</v>
      </c>
      <c r="AG25" s="132">
        <f>'Lafer-5-Shearing'!$P$35</f>
        <v>0</v>
      </c>
      <c r="AH25" s="125">
        <f>AG25*100/AG10</f>
        <v>0</v>
      </c>
      <c r="AI25" s="132">
        <f>'Lafer-4'!$P$35</f>
        <v>0</v>
      </c>
      <c r="AJ25" s="119">
        <f>+AI25*100/AI10</f>
        <v>0</v>
      </c>
      <c r="AK25" s="132">
        <f>Soaper!$P$35</f>
        <v>0</v>
      </c>
      <c r="AL25" s="119">
        <f>+AK25*100/AK10</f>
        <v>0</v>
      </c>
      <c r="AM25" s="126"/>
      <c r="AN25" s="119" t="s">
        <v>105</v>
      </c>
      <c r="AO25" s="119" t="e">
        <f>+#REF!</f>
        <v>#REF!</v>
      </c>
      <c r="AP25" s="119" t="e">
        <f>AO25*100/AO10</f>
        <v>#REF!</v>
      </c>
      <c r="AQ25" s="119" t="e">
        <f>+#REF!</f>
        <v>#REF!</v>
      </c>
      <c r="AR25" s="119" t="e">
        <f>AQ25*100/AQ10</f>
        <v>#REF!</v>
      </c>
    </row>
    <row r="26" spans="1:44" s="112" customFormat="1" ht="15.75">
      <c r="A26" s="113"/>
      <c r="B26" s="113" t="s">
        <v>106</v>
      </c>
      <c r="C26" s="119">
        <f>'Osthoff-1'!$Q$35</f>
        <v>0</v>
      </c>
      <c r="D26" s="119">
        <f>C26*100/C10</f>
        <v>0</v>
      </c>
      <c r="E26" s="132">
        <f>'Osthoff-2'!$Q$35</f>
        <v>0</v>
      </c>
      <c r="F26" s="132">
        <f>E26*100/E10</f>
        <v>0</v>
      </c>
      <c r="G26" s="132">
        <f>PTR!$Q$35</f>
        <v>0</v>
      </c>
      <c r="H26" s="132">
        <f>G26*100/G10</f>
        <v>0</v>
      </c>
      <c r="I26" s="132">
        <f>Perble!$Q$35</f>
        <v>0</v>
      </c>
      <c r="J26" s="132">
        <f>+I26/I10*100</f>
        <v>0</v>
      </c>
      <c r="K26" s="132">
        <f>'Merceriser-1'!Q35</f>
        <v>0</v>
      </c>
      <c r="L26" s="119">
        <f>K26*100/K10</f>
        <v>0</v>
      </c>
      <c r="M26" s="132">
        <f>'Merceriser-2'!Q35</f>
        <v>0</v>
      </c>
      <c r="N26" s="119">
        <f>M26*100/M10</f>
        <v>0</v>
      </c>
      <c r="O26" s="132">
        <f>[1]NPS!Q35</f>
        <v>0</v>
      </c>
      <c r="P26" s="119">
        <f>O26*100/O10</f>
        <v>0</v>
      </c>
      <c r="Q26" s="126"/>
      <c r="R26" s="119" t="s">
        <v>106</v>
      </c>
      <c r="S26" s="132">
        <f>'Xetma-2'!Q35</f>
        <v>0</v>
      </c>
      <c r="T26" s="119">
        <f>S26*100/S10</f>
        <v>0</v>
      </c>
      <c r="U26" s="132">
        <f>'Xetma-3'!$Q$35</f>
        <v>0</v>
      </c>
      <c r="V26" s="124">
        <f>U26*100/U10</f>
        <v>0</v>
      </c>
      <c r="W26" s="132">
        <f>'Lafer-1'!$Q$35</f>
        <v>0</v>
      </c>
      <c r="X26" s="119">
        <f>+W26*100/W10</f>
        <v>0</v>
      </c>
      <c r="Y26" s="132">
        <f>'Lafer-2'!$Q$35</f>
        <v>0</v>
      </c>
      <c r="Z26" s="119">
        <f>+Y26*100/Y10</f>
        <v>0</v>
      </c>
      <c r="AA26" s="132">
        <f>'Lafer-3'!$Q$35</f>
        <v>0</v>
      </c>
      <c r="AB26" s="119">
        <f>+AA26*100/AA10</f>
        <v>0</v>
      </c>
      <c r="AC26" s="132">
        <f>'Lafer-4'!$Q$35</f>
        <v>0</v>
      </c>
      <c r="AD26" s="119">
        <f>+AC26*100/AC10</f>
        <v>0</v>
      </c>
      <c r="AE26" s="132">
        <f>'Lafer-5-Raising'!$Q$35</f>
        <v>0</v>
      </c>
      <c r="AF26" s="125">
        <f>AE26*100/AE10</f>
        <v>0</v>
      </c>
      <c r="AG26" s="132">
        <f>'Lafer-5-Shearing'!$Q$35</f>
        <v>0</v>
      </c>
      <c r="AH26" s="125">
        <f>AG26*100/AG10</f>
        <v>0</v>
      </c>
      <c r="AI26" s="132">
        <f>'Lafer-4'!$Q$35</f>
        <v>0</v>
      </c>
      <c r="AJ26" s="119">
        <f>+AI26*100/AI10</f>
        <v>0</v>
      </c>
      <c r="AK26" s="132">
        <f>Soaper!$Q$35</f>
        <v>0</v>
      </c>
      <c r="AL26" s="119">
        <f>+AK26*100/AK10</f>
        <v>0</v>
      </c>
      <c r="AM26" s="126"/>
      <c r="AN26" s="119" t="s">
        <v>106</v>
      </c>
      <c r="AO26" s="119" t="e">
        <f>+#REF!</f>
        <v>#REF!</v>
      </c>
      <c r="AP26" s="119" t="e">
        <f>AO26*100/AO10</f>
        <v>#REF!</v>
      </c>
      <c r="AQ26" s="119" t="e">
        <f>+#REF!</f>
        <v>#REF!</v>
      </c>
      <c r="AR26" s="119" t="e">
        <f>AQ26*100/AQ10</f>
        <v>#REF!</v>
      </c>
    </row>
    <row r="27" spans="1:44" s="112" customFormat="1" ht="15.75">
      <c r="A27" s="113"/>
      <c r="B27" s="113"/>
      <c r="C27" s="119"/>
      <c r="D27" s="119"/>
      <c r="E27" s="132"/>
      <c r="F27" s="132"/>
      <c r="G27" s="132"/>
      <c r="H27" s="132"/>
      <c r="I27" s="132"/>
      <c r="J27" s="132"/>
      <c r="K27" s="132"/>
      <c r="L27" s="119"/>
      <c r="M27" s="132"/>
      <c r="N27" s="119"/>
      <c r="O27" s="132"/>
      <c r="P27" s="119"/>
      <c r="Q27" s="126"/>
      <c r="R27" s="119" t="s">
        <v>107</v>
      </c>
      <c r="S27" s="132"/>
      <c r="T27" s="119"/>
      <c r="U27" s="132"/>
      <c r="V27" s="124"/>
      <c r="W27" s="132"/>
      <c r="X27" s="119"/>
      <c r="Y27" s="132"/>
      <c r="Z27" s="119"/>
      <c r="AA27" s="132"/>
      <c r="AB27" s="119"/>
      <c r="AC27" s="132"/>
      <c r="AD27" s="119"/>
      <c r="AE27" s="132"/>
      <c r="AF27" s="125"/>
      <c r="AG27" s="132"/>
      <c r="AH27" s="125"/>
      <c r="AI27" s="132"/>
      <c r="AJ27" s="119"/>
      <c r="AK27" s="132"/>
      <c r="AL27" s="119"/>
      <c r="AM27" s="126"/>
      <c r="AN27" s="119" t="s">
        <v>107</v>
      </c>
      <c r="AO27" s="119"/>
      <c r="AP27" s="119"/>
      <c r="AQ27" s="119"/>
      <c r="AR27" s="119"/>
    </row>
    <row r="28" spans="1:44" s="112" customFormat="1" ht="15.75">
      <c r="A28" s="113"/>
      <c r="B28" s="138" t="s">
        <v>98</v>
      </c>
      <c r="C28" s="143">
        <f t="shared" ref="C28:H28" si="4">SUM(C22:C26)</f>
        <v>0</v>
      </c>
      <c r="D28" s="143">
        <f t="shared" si="4"/>
        <v>0</v>
      </c>
      <c r="E28" s="139">
        <f t="shared" ref="E28" si="5">SUM(E22:E26)</f>
        <v>0</v>
      </c>
      <c r="F28" s="139">
        <f t="shared" si="4"/>
        <v>0</v>
      </c>
      <c r="G28" s="139">
        <f t="shared" si="4"/>
        <v>0</v>
      </c>
      <c r="H28" s="139">
        <f t="shared" si="4"/>
        <v>0</v>
      </c>
      <c r="I28" s="139">
        <f t="shared" ref="I28:K28" si="6">SUM(I22:I26)</f>
        <v>0</v>
      </c>
      <c r="J28" s="141">
        <f>100/I10*I28</f>
        <v>0</v>
      </c>
      <c r="K28" s="139">
        <f t="shared" si="6"/>
        <v>0</v>
      </c>
      <c r="L28" s="143">
        <f>+K28*100/K10</f>
        <v>0</v>
      </c>
      <c r="M28" s="139">
        <f t="shared" ref="M28:O28" si="7">SUM(M22:M26)</f>
        <v>0</v>
      </c>
      <c r="N28" s="143">
        <f>SUM(N22:N26)</f>
        <v>0</v>
      </c>
      <c r="O28" s="139">
        <f t="shared" si="7"/>
        <v>0</v>
      </c>
      <c r="P28" s="143">
        <f>SUM(P22:P26)</f>
        <v>0</v>
      </c>
      <c r="Q28" s="143"/>
      <c r="R28" s="143" t="s">
        <v>98</v>
      </c>
      <c r="S28" s="139">
        <f t="shared" ref="S28" si="8">SUM(S22:S26)</f>
        <v>0</v>
      </c>
      <c r="T28" s="143">
        <f>SUM(T22:T26)</f>
        <v>0</v>
      </c>
      <c r="U28" s="139">
        <f t="shared" ref="U28" si="9">SUM(U22:U26)</f>
        <v>0</v>
      </c>
      <c r="V28" s="143">
        <f>SUM(V22:V26)</f>
        <v>0</v>
      </c>
      <c r="W28" s="139">
        <f t="shared" ref="W28:Y28" si="10">SUM(W22:W26)</f>
        <v>0</v>
      </c>
      <c r="X28" s="143">
        <f t="shared" ref="X28:AD28" si="11">SUM(X22:X27)</f>
        <v>0</v>
      </c>
      <c r="Y28" s="139">
        <f t="shared" si="10"/>
        <v>0</v>
      </c>
      <c r="Z28" s="143">
        <f t="shared" si="11"/>
        <v>0</v>
      </c>
      <c r="AA28" s="139">
        <f t="shared" ref="AA28" si="12">SUM(AA22:AA26)</f>
        <v>0</v>
      </c>
      <c r="AB28" s="143">
        <f t="shared" si="11"/>
        <v>0</v>
      </c>
      <c r="AC28" s="139">
        <f t="shared" ref="AC28:AL28" si="13">SUM(AC22:AC26)</f>
        <v>0</v>
      </c>
      <c r="AD28" s="143">
        <f t="shared" si="11"/>
        <v>0</v>
      </c>
      <c r="AE28" s="139">
        <f t="shared" si="13"/>
        <v>0</v>
      </c>
      <c r="AF28" s="143">
        <f t="shared" si="13"/>
        <v>0</v>
      </c>
      <c r="AG28" s="139">
        <f t="shared" si="13"/>
        <v>0</v>
      </c>
      <c r="AH28" s="143">
        <f t="shared" si="13"/>
        <v>0</v>
      </c>
      <c r="AI28" s="139">
        <f t="shared" si="13"/>
        <v>0</v>
      </c>
      <c r="AJ28" s="143">
        <f t="shared" si="13"/>
        <v>0</v>
      </c>
      <c r="AK28" s="139">
        <f t="shared" si="13"/>
        <v>0</v>
      </c>
      <c r="AL28" s="143">
        <f t="shared" si="13"/>
        <v>0</v>
      </c>
      <c r="AM28" s="143"/>
      <c r="AN28" s="143" t="s">
        <v>98</v>
      </c>
      <c r="AO28" s="143" t="e">
        <f>SUM(AO22:AO26)</f>
        <v>#REF!</v>
      </c>
      <c r="AP28" s="143" t="e">
        <f>SUM(AP22:AP26)</f>
        <v>#REF!</v>
      </c>
      <c r="AQ28" s="143" t="e">
        <f>SUM(AQ22:AQ26)</f>
        <v>#REF!</v>
      </c>
      <c r="AR28" s="143" t="e">
        <f>SUM(AR22:AR26)</f>
        <v>#REF!</v>
      </c>
    </row>
    <row r="29" spans="1:44" ht="15.75">
      <c r="A29" s="113"/>
      <c r="B29" s="113"/>
      <c r="C29" s="126"/>
      <c r="D29" s="126"/>
      <c r="E29" s="126"/>
      <c r="F29" s="126"/>
      <c r="G29" s="126"/>
      <c r="H29" s="126"/>
      <c r="I29" s="126"/>
      <c r="J29" s="144"/>
      <c r="K29" s="126"/>
      <c r="L29" s="126"/>
      <c r="M29" s="126"/>
      <c r="N29" s="126"/>
      <c r="O29" s="126"/>
      <c r="P29" s="126"/>
      <c r="Q29" s="126"/>
      <c r="R29" s="119"/>
      <c r="S29" s="126"/>
      <c r="T29" s="126"/>
      <c r="U29" s="126"/>
      <c r="V29" s="128"/>
      <c r="W29" s="126"/>
      <c r="X29" s="137"/>
      <c r="Y29" s="126"/>
      <c r="Z29" s="137"/>
      <c r="AA29" s="126"/>
      <c r="AB29" s="137"/>
      <c r="AC29" s="126"/>
      <c r="AD29" s="137"/>
      <c r="AE29" s="126"/>
      <c r="AF29" s="129"/>
      <c r="AG29" s="126"/>
      <c r="AH29" s="129"/>
      <c r="AI29" s="126"/>
      <c r="AJ29" s="137"/>
      <c r="AK29" s="126"/>
      <c r="AL29" s="137"/>
      <c r="AM29" s="126"/>
      <c r="AN29" s="119"/>
      <c r="AO29" s="126"/>
      <c r="AP29" s="126"/>
      <c r="AQ29" s="126"/>
      <c r="AR29" s="126"/>
    </row>
    <row r="30" spans="1:44" ht="15.75">
      <c r="A30" s="113"/>
      <c r="B30" s="113" t="s">
        <v>108</v>
      </c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 t="s">
        <v>108</v>
      </c>
      <c r="S30" s="126"/>
      <c r="T30" s="126"/>
      <c r="U30" s="126"/>
      <c r="V30" s="128"/>
      <c r="W30" s="126"/>
      <c r="X30" s="137"/>
      <c r="Y30" s="126"/>
      <c r="Z30" s="137"/>
      <c r="AA30" s="126"/>
      <c r="AB30" s="137"/>
      <c r="AC30" s="126"/>
      <c r="AD30" s="137"/>
      <c r="AE30" s="126"/>
      <c r="AF30" s="129"/>
      <c r="AG30" s="126"/>
      <c r="AH30" s="129"/>
      <c r="AI30" s="126"/>
      <c r="AJ30" s="137"/>
      <c r="AK30" s="126"/>
      <c r="AL30" s="137"/>
      <c r="AM30" s="126"/>
      <c r="AN30" s="126" t="s">
        <v>108</v>
      </c>
      <c r="AO30" s="126"/>
      <c r="AP30" s="126"/>
      <c r="AQ30" s="126"/>
      <c r="AR30" s="126"/>
    </row>
    <row r="31" spans="1:44" ht="15.75">
      <c r="A31" s="113"/>
      <c r="B31" s="113" t="s">
        <v>100</v>
      </c>
      <c r="C31" s="126"/>
      <c r="D31" s="126"/>
      <c r="E31" s="126"/>
      <c r="F31" s="126"/>
      <c r="G31" s="126"/>
      <c r="H31" s="126"/>
      <c r="I31" s="126"/>
      <c r="J31" s="126"/>
      <c r="K31" s="126"/>
      <c r="L31" s="126"/>
      <c r="M31" s="126"/>
      <c r="N31" s="126"/>
      <c r="O31" s="126"/>
      <c r="P31" s="126"/>
      <c r="Q31" s="126"/>
      <c r="R31" s="126" t="s">
        <v>100</v>
      </c>
      <c r="S31" s="126"/>
      <c r="T31" s="126"/>
      <c r="U31" s="126"/>
      <c r="V31" s="128"/>
      <c r="W31" s="126"/>
      <c r="X31" s="137"/>
      <c r="Y31" s="126"/>
      <c r="Z31" s="137"/>
      <c r="AA31" s="126"/>
      <c r="AB31" s="137"/>
      <c r="AC31" s="126"/>
      <c r="AD31" s="137"/>
      <c r="AE31" s="126"/>
      <c r="AF31" s="129"/>
      <c r="AG31" s="126"/>
      <c r="AH31" s="129"/>
      <c r="AI31" s="126"/>
      <c r="AJ31" s="137"/>
      <c r="AK31" s="126"/>
      <c r="AL31" s="137"/>
      <c r="AM31" s="126"/>
      <c r="AN31" s="126" t="s">
        <v>100</v>
      </c>
      <c r="AO31" s="126"/>
      <c r="AP31" s="126"/>
      <c r="AQ31" s="126"/>
      <c r="AR31" s="126"/>
    </row>
    <row r="32" spans="1:44" s="112" customFormat="1" ht="15.75">
      <c r="A32" s="113"/>
      <c r="B32" s="130"/>
      <c r="C32" s="131" t="s">
        <v>94</v>
      </c>
      <c r="D32" s="131" t="s">
        <v>95</v>
      </c>
      <c r="E32" s="131" t="s">
        <v>94</v>
      </c>
      <c r="F32" s="131" t="s">
        <v>95</v>
      </c>
      <c r="G32" s="131" t="s">
        <v>94</v>
      </c>
      <c r="H32" s="131" t="s">
        <v>95</v>
      </c>
      <c r="I32" s="131" t="s">
        <v>94</v>
      </c>
      <c r="J32" s="131" t="s">
        <v>95</v>
      </c>
      <c r="K32" s="131" t="s">
        <v>94</v>
      </c>
      <c r="L32" s="131" t="s">
        <v>95</v>
      </c>
      <c r="M32" s="131" t="s">
        <v>94</v>
      </c>
      <c r="N32" s="131" t="s">
        <v>95</v>
      </c>
      <c r="O32" s="131" t="s">
        <v>94</v>
      </c>
      <c r="P32" s="131" t="s">
        <v>95</v>
      </c>
      <c r="Q32" s="131"/>
      <c r="R32" s="131"/>
      <c r="S32" s="131" t="s">
        <v>94</v>
      </c>
      <c r="T32" s="131" t="s">
        <v>95</v>
      </c>
      <c r="U32" s="131" t="s">
        <v>94</v>
      </c>
      <c r="V32" s="131" t="s">
        <v>95</v>
      </c>
      <c r="W32" s="131" t="s">
        <v>94</v>
      </c>
      <c r="X32" s="131" t="s">
        <v>95</v>
      </c>
      <c r="Y32" s="131" t="s">
        <v>94</v>
      </c>
      <c r="Z32" s="131" t="s">
        <v>95</v>
      </c>
      <c r="AA32" s="131" t="s">
        <v>94</v>
      </c>
      <c r="AB32" s="131" t="s">
        <v>95</v>
      </c>
      <c r="AC32" s="131" t="s">
        <v>94</v>
      </c>
      <c r="AD32" s="131" t="s">
        <v>95</v>
      </c>
      <c r="AE32" s="131" t="s">
        <v>94</v>
      </c>
      <c r="AF32" s="131" t="s">
        <v>95</v>
      </c>
      <c r="AG32" s="131" t="s">
        <v>94</v>
      </c>
      <c r="AH32" s="131" t="s">
        <v>95</v>
      </c>
      <c r="AI32" s="131" t="s">
        <v>94</v>
      </c>
      <c r="AJ32" s="131" t="s">
        <v>95</v>
      </c>
      <c r="AK32" s="131" t="s">
        <v>94</v>
      </c>
      <c r="AL32" s="131" t="s">
        <v>95</v>
      </c>
      <c r="AM32" s="131"/>
      <c r="AN32" s="131"/>
      <c r="AO32" s="131" t="s">
        <v>94</v>
      </c>
      <c r="AP32" s="131" t="s">
        <v>95</v>
      </c>
      <c r="AQ32" s="131" t="s">
        <v>94</v>
      </c>
      <c r="AR32" s="131" t="s">
        <v>95</v>
      </c>
    </row>
    <row r="33" spans="1:44" s="112" customFormat="1" ht="15.75">
      <c r="A33" s="114"/>
      <c r="B33" s="113" t="s">
        <v>109</v>
      </c>
      <c r="C33" s="132">
        <f>'Osthoff-1'!$M$35</f>
        <v>0</v>
      </c>
      <c r="D33" s="132">
        <f>C33*100/C10</f>
        <v>0</v>
      </c>
      <c r="E33" s="132">
        <f>'Osthoff-2'!$M$35</f>
        <v>0</v>
      </c>
      <c r="F33" s="132">
        <f>E33*100/E10</f>
        <v>0</v>
      </c>
      <c r="G33" s="132">
        <f>PTR!$M$35</f>
        <v>0</v>
      </c>
      <c r="H33" s="132">
        <f>G33*100/G10</f>
        <v>0</v>
      </c>
      <c r="I33" s="132">
        <f>Perble!$M$35</f>
        <v>0</v>
      </c>
      <c r="J33" s="132">
        <f>100/I10*I33</f>
        <v>0</v>
      </c>
      <c r="K33" s="132">
        <f>'Merceriser-1'!M35</f>
        <v>0</v>
      </c>
      <c r="L33" s="132">
        <f>K33*100/K10</f>
        <v>0</v>
      </c>
      <c r="M33" s="132">
        <f>'Merceriser-2'!M35</f>
        <v>0</v>
      </c>
      <c r="N33" s="132">
        <f>M33*100/M10</f>
        <v>0</v>
      </c>
      <c r="O33" s="132">
        <f>NPS!M35</f>
        <v>0</v>
      </c>
      <c r="P33" s="132">
        <f>O33*100/O10</f>
        <v>0</v>
      </c>
      <c r="Q33" s="132"/>
      <c r="R33" s="132" t="s">
        <v>109</v>
      </c>
      <c r="S33" s="132">
        <f>'Xetma-2'!M35</f>
        <v>0</v>
      </c>
      <c r="T33" s="132">
        <f>S33*100/S10</f>
        <v>0</v>
      </c>
      <c r="U33" s="132">
        <f>'Xetma-3'!$M$35</f>
        <v>0</v>
      </c>
      <c r="V33" s="145">
        <f>U33*100/U10</f>
        <v>0</v>
      </c>
      <c r="W33" s="132">
        <f>'Lafer-1'!$M$35</f>
        <v>0</v>
      </c>
      <c r="X33" s="132">
        <f>+W33*100/W10</f>
        <v>0</v>
      </c>
      <c r="Y33" s="132">
        <f>'Lafer-2'!$M$35</f>
        <v>0</v>
      </c>
      <c r="Z33" s="132">
        <f>+Y33*100/Y10</f>
        <v>0</v>
      </c>
      <c r="AA33" s="132">
        <f>'Lafer-3'!$M$35</f>
        <v>0</v>
      </c>
      <c r="AB33" s="132">
        <f>+AA33*100/AA10</f>
        <v>0</v>
      </c>
      <c r="AC33" s="132">
        <f>'Lafer-4'!$M$35</f>
        <v>0</v>
      </c>
      <c r="AD33" s="132">
        <f>+AC33*100/AC10</f>
        <v>0</v>
      </c>
      <c r="AE33" s="132">
        <f>'Lafer-5-Raising'!$M$35</f>
        <v>0</v>
      </c>
      <c r="AF33" s="146">
        <f>AE33*100/AE10</f>
        <v>0</v>
      </c>
      <c r="AG33" s="132">
        <f>'Lafer-5-Shearing'!$M$35</f>
        <v>0</v>
      </c>
      <c r="AH33" s="146">
        <f>AG33*100/AG10</f>
        <v>0</v>
      </c>
      <c r="AI33" s="132">
        <f>'Lafer-4'!$M$35</f>
        <v>0</v>
      </c>
      <c r="AJ33" s="132">
        <f>+AI33*100/AI10</f>
        <v>0</v>
      </c>
      <c r="AK33" s="132">
        <f>Soaper!$M$35</f>
        <v>0</v>
      </c>
      <c r="AL33" s="119">
        <f>+AK33*100/AK10</f>
        <v>0</v>
      </c>
      <c r="AM33" s="119"/>
      <c r="AN33" s="119" t="s">
        <v>109</v>
      </c>
      <c r="AO33" s="119" t="e">
        <f>+#REF!</f>
        <v>#REF!</v>
      </c>
      <c r="AP33" s="119" t="e">
        <f>AO33*100/AO10</f>
        <v>#REF!</v>
      </c>
      <c r="AQ33" s="119" t="e">
        <f>+#REF!</f>
        <v>#REF!</v>
      </c>
      <c r="AR33" s="119" t="e">
        <f>AQ33*100/AQ10</f>
        <v>#REF!</v>
      </c>
    </row>
    <row r="34" spans="1:44" s="112" customFormat="1" ht="15.75">
      <c r="A34" s="114"/>
      <c r="B34" s="113" t="s">
        <v>110</v>
      </c>
      <c r="C34" s="132">
        <f>'Osthoff-1'!$N$35</f>
        <v>0</v>
      </c>
      <c r="D34" s="132">
        <f>C34*100/C10</f>
        <v>0</v>
      </c>
      <c r="E34" s="132">
        <f>'Osthoff-2'!$N$35</f>
        <v>0</v>
      </c>
      <c r="F34" s="132">
        <f>E34*100/E10</f>
        <v>0</v>
      </c>
      <c r="G34" s="132">
        <f>PTR!$N$35</f>
        <v>0</v>
      </c>
      <c r="H34" s="132">
        <f>G34*100/G10</f>
        <v>0</v>
      </c>
      <c r="I34" s="132">
        <f>Perble!$N$35</f>
        <v>0</v>
      </c>
      <c r="J34" s="132">
        <f>100/I10*I34</f>
        <v>0</v>
      </c>
      <c r="K34" s="132">
        <f>'Merceriser-1'!N35</f>
        <v>0</v>
      </c>
      <c r="L34" s="132">
        <f>K34*100/K10</f>
        <v>0</v>
      </c>
      <c r="M34" s="132">
        <f>'Merceriser-2'!N35</f>
        <v>0</v>
      </c>
      <c r="N34" s="132">
        <f>M34*100/M10</f>
        <v>0</v>
      </c>
      <c r="O34" s="132">
        <f>NPS!N35</f>
        <v>0</v>
      </c>
      <c r="P34" s="132">
        <f>O34*100/O10</f>
        <v>0</v>
      </c>
      <c r="Q34" s="132"/>
      <c r="R34" s="132" t="s">
        <v>110</v>
      </c>
      <c r="S34" s="132">
        <f>'Xetma-2'!N35</f>
        <v>0</v>
      </c>
      <c r="T34" s="132">
        <f>S34*100/S10</f>
        <v>0</v>
      </c>
      <c r="U34" s="132">
        <f>'Xetma-3'!$N$35</f>
        <v>0</v>
      </c>
      <c r="V34" s="145">
        <f>U34*100/U10</f>
        <v>0</v>
      </c>
      <c r="W34" s="132">
        <f>'Lafer-1'!$N$35</f>
        <v>0</v>
      </c>
      <c r="X34" s="132">
        <f>+W34*100/W10</f>
        <v>0</v>
      </c>
      <c r="Y34" s="132">
        <f>'Lafer-2'!$N$35</f>
        <v>0</v>
      </c>
      <c r="Z34" s="132">
        <f>+Y34*100/Y10</f>
        <v>0</v>
      </c>
      <c r="AA34" s="132">
        <f>'Lafer-3'!$N$35</f>
        <v>0</v>
      </c>
      <c r="AB34" s="132">
        <f>+AA34*100/AA10</f>
        <v>0</v>
      </c>
      <c r="AC34" s="132">
        <f>'Lafer-4'!$N$35</f>
        <v>0</v>
      </c>
      <c r="AD34" s="132">
        <f>+AC34*100/AC10</f>
        <v>0</v>
      </c>
      <c r="AE34" s="132">
        <f>'Lafer-5-Raising'!$N$35</f>
        <v>0</v>
      </c>
      <c r="AF34" s="146">
        <f>AE34*100/AE10</f>
        <v>0</v>
      </c>
      <c r="AG34" s="132">
        <f>'Lafer-5-Shearing'!$N$35</f>
        <v>0</v>
      </c>
      <c r="AH34" s="146">
        <f>AG34*100/AG10</f>
        <v>0</v>
      </c>
      <c r="AI34" s="132">
        <f>'Lafer-4'!$N$35</f>
        <v>0</v>
      </c>
      <c r="AJ34" s="132">
        <f>+AI34*100/AI10</f>
        <v>0</v>
      </c>
      <c r="AK34" s="132">
        <f>Soaper!$N$35</f>
        <v>0</v>
      </c>
      <c r="AL34" s="119">
        <f>+AK34*100/AK10</f>
        <v>0</v>
      </c>
      <c r="AM34" s="119"/>
      <c r="AN34" s="119" t="s">
        <v>110</v>
      </c>
      <c r="AO34" s="119" t="e">
        <f>+#REF!</f>
        <v>#REF!</v>
      </c>
      <c r="AP34" s="119" t="e">
        <f>AO34*100/AO10</f>
        <v>#REF!</v>
      </c>
      <c r="AQ34" s="119" t="e">
        <f>+#REF!</f>
        <v>#REF!</v>
      </c>
      <c r="AR34" s="119" t="e">
        <f>AQ34*100/AQ10</f>
        <v>#REF!</v>
      </c>
    </row>
    <row r="35" spans="1:44" s="112" customFormat="1" ht="15.75">
      <c r="A35" s="113"/>
      <c r="B35" s="113" t="s">
        <v>111</v>
      </c>
      <c r="C35" s="132">
        <f>'Osthoff-1'!$R$35</f>
        <v>0</v>
      </c>
      <c r="D35" s="132">
        <f>C35*100/C10</f>
        <v>0</v>
      </c>
      <c r="E35" s="132">
        <f>'Osthoff-2'!$R$35</f>
        <v>0</v>
      </c>
      <c r="F35" s="132">
        <f>E35*100/E10</f>
        <v>0</v>
      </c>
      <c r="G35" s="132">
        <f>PTR!$R$35</f>
        <v>0</v>
      </c>
      <c r="H35" s="132">
        <f>G35*100/G10</f>
        <v>0</v>
      </c>
      <c r="I35" s="132">
        <f>Perble!$R$35</f>
        <v>0</v>
      </c>
      <c r="J35" s="132">
        <f>100/I10*I35</f>
        <v>0</v>
      </c>
      <c r="K35" s="132">
        <f>'Merceriser-1'!R35</f>
        <v>0</v>
      </c>
      <c r="L35" s="132">
        <f>K35*100/K10</f>
        <v>0</v>
      </c>
      <c r="M35" s="132">
        <f>'Merceriser-2'!R35</f>
        <v>0</v>
      </c>
      <c r="N35" s="132">
        <f>M35*100/M10</f>
        <v>0</v>
      </c>
      <c r="O35" s="132">
        <f>NPS!R35</f>
        <v>0</v>
      </c>
      <c r="P35" s="132">
        <f>O35*100/O10</f>
        <v>0</v>
      </c>
      <c r="Q35" s="134"/>
      <c r="R35" s="132" t="s">
        <v>111</v>
      </c>
      <c r="S35" s="132">
        <f>'Xetma-2'!R35</f>
        <v>0</v>
      </c>
      <c r="T35" s="132">
        <f>S35*100/S10</f>
        <v>0</v>
      </c>
      <c r="U35" s="132">
        <f>'Xetma-3'!$R$35</f>
        <v>0</v>
      </c>
      <c r="V35" s="145">
        <f>U35*100/U10</f>
        <v>0</v>
      </c>
      <c r="W35" s="132">
        <f>'Lafer-1'!$R$35</f>
        <v>0</v>
      </c>
      <c r="X35" s="132">
        <f>+W35*100/W10</f>
        <v>0</v>
      </c>
      <c r="Y35" s="132">
        <f>'Lafer-2'!$R$35</f>
        <v>0</v>
      </c>
      <c r="Z35" s="132">
        <f>+Y35*100/Y10</f>
        <v>0</v>
      </c>
      <c r="AA35" s="132">
        <f>'Lafer-3'!$R$35</f>
        <v>0</v>
      </c>
      <c r="AB35" s="132">
        <f>+AA35*100/AA10</f>
        <v>0</v>
      </c>
      <c r="AC35" s="132">
        <f>'Lafer-4'!$R$35</f>
        <v>0</v>
      </c>
      <c r="AD35" s="132">
        <f>+AC35*100/AC10</f>
        <v>0</v>
      </c>
      <c r="AE35" s="132">
        <f>'Lafer-5-Raising'!$R$35</f>
        <v>0</v>
      </c>
      <c r="AF35" s="146">
        <f>AE35*100/AE10</f>
        <v>0</v>
      </c>
      <c r="AG35" s="132">
        <f>'Lafer-5-Shearing'!$R$35</f>
        <v>0</v>
      </c>
      <c r="AH35" s="146">
        <f>AG35*100/AG10</f>
        <v>0</v>
      </c>
      <c r="AI35" s="132">
        <f>'Lafer-4'!$R$35</f>
        <v>0</v>
      </c>
      <c r="AJ35" s="132">
        <f>+AI35*100/AI10</f>
        <v>0</v>
      </c>
      <c r="AK35" s="132">
        <f>Soaper!$R$35</f>
        <v>0</v>
      </c>
      <c r="AL35" s="119">
        <f>+AK35*100/AK10</f>
        <v>0</v>
      </c>
      <c r="AM35" s="126"/>
      <c r="AN35" s="119" t="s">
        <v>111</v>
      </c>
      <c r="AO35" s="119" t="e">
        <f>+#REF!</f>
        <v>#REF!</v>
      </c>
      <c r="AP35" s="119" t="e">
        <f>AO35*100/AO10</f>
        <v>#REF!</v>
      </c>
      <c r="AQ35" s="119" t="e">
        <f>+#REF!</f>
        <v>#REF!</v>
      </c>
      <c r="AR35" s="119" t="e">
        <f>AQ35*100/AQ10</f>
        <v>#REF!</v>
      </c>
    </row>
    <row r="36" spans="1:44" s="112" customFormat="1" ht="15.75">
      <c r="A36" s="114"/>
      <c r="B36" s="113" t="s">
        <v>112</v>
      </c>
      <c r="C36" s="132">
        <f>'Osthoff-1'!$S$35</f>
        <v>0</v>
      </c>
      <c r="D36" s="132">
        <f>C36*100/C10</f>
        <v>0</v>
      </c>
      <c r="E36" s="132">
        <f>'Osthoff-2'!$S$35</f>
        <v>0</v>
      </c>
      <c r="F36" s="132">
        <f>E36*100/E10</f>
        <v>0</v>
      </c>
      <c r="G36" s="132">
        <f>PTR!$S$35</f>
        <v>0</v>
      </c>
      <c r="H36" s="132">
        <f>G36*100/G10</f>
        <v>0</v>
      </c>
      <c r="I36" s="132">
        <f>Perble!$S$35</f>
        <v>0</v>
      </c>
      <c r="J36" s="132">
        <f>100/I10*I36</f>
        <v>0</v>
      </c>
      <c r="K36" s="132">
        <f>'Merceriser-1'!S35</f>
        <v>0</v>
      </c>
      <c r="L36" s="132">
        <f>+K36*100/K10</f>
        <v>0</v>
      </c>
      <c r="M36" s="147">
        <f>'Merceriser-2'!S35</f>
        <v>0</v>
      </c>
      <c r="N36" s="132">
        <f>+O36*100/M10</f>
        <v>0</v>
      </c>
      <c r="O36" s="132">
        <f>NPS!S35</f>
        <v>0</v>
      </c>
      <c r="P36" s="132" t="e">
        <f>+#REF!*100/O10</f>
        <v>#REF!</v>
      </c>
      <c r="Q36" s="132"/>
      <c r="R36" s="132" t="s">
        <v>112</v>
      </c>
      <c r="S36" s="132">
        <f>'Xetma-2'!S35</f>
        <v>0</v>
      </c>
      <c r="T36" s="132">
        <f>+S36*100/S10</f>
        <v>0</v>
      </c>
      <c r="U36" s="132">
        <f>'Xetma-3'!$S$35</f>
        <v>0</v>
      </c>
      <c r="V36" s="132">
        <f>+U36*100/U10</f>
        <v>0</v>
      </c>
      <c r="W36" s="132">
        <f>'Lafer-1'!$S$35</f>
        <v>0</v>
      </c>
      <c r="X36" s="132">
        <f>+W36*100/W10</f>
        <v>0</v>
      </c>
      <c r="Y36" s="132">
        <f>'Lafer-2'!$S$35</f>
        <v>0</v>
      </c>
      <c r="Z36" s="132">
        <f>+Y36*100/Y10</f>
        <v>0</v>
      </c>
      <c r="AA36" s="132">
        <f>'Lafer-3'!$S$35</f>
        <v>0</v>
      </c>
      <c r="AB36" s="132">
        <f>+AA36*100/AA10</f>
        <v>0</v>
      </c>
      <c r="AC36" s="132">
        <f>'Lafer-4'!$S$35</f>
        <v>0</v>
      </c>
      <c r="AD36" s="132">
        <f>+AC36*100/AC10</f>
        <v>0</v>
      </c>
      <c r="AE36" s="132">
        <f>'Lafer-5-Raising'!$S$35</f>
        <v>0</v>
      </c>
      <c r="AF36" s="146">
        <f>+AE36*100/AE10</f>
        <v>0</v>
      </c>
      <c r="AG36" s="132">
        <f>'Lafer-5-Shearing'!$S$35</f>
        <v>0</v>
      </c>
      <c r="AH36" s="146">
        <f>+AG36*100/AG10</f>
        <v>0</v>
      </c>
      <c r="AI36" s="132">
        <f>'Lafer-4'!$S$35</f>
        <v>0</v>
      </c>
      <c r="AJ36" s="132">
        <f>+AI36*100/AI10</f>
        <v>0</v>
      </c>
      <c r="AK36" s="132">
        <f>Soaper!$S$35</f>
        <v>0</v>
      </c>
      <c r="AL36" s="119">
        <f>+AK36*100/AK10</f>
        <v>0</v>
      </c>
      <c r="AM36" s="119"/>
      <c r="AN36" s="114" t="s">
        <v>112</v>
      </c>
      <c r="AO36" s="119" t="e">
        <f>+#REF!</f>
        <v>#REF!</v>
      </c>
      <c r="AP36" s="119" t="e">
        <f>+AO36*100/AO10</f>
        <v>#REF!</v>
      </c>
      <c r="AQ36" s="119" t="e">
        <f>+#REF!</f>
        <v>#REF!</v>
      </c>
      <c r="AR36" s="119" t="e">
        <f>+AQ36*100/AQ10</f>
        <v>#REF!</v>
      </c>
    </row>
    <row r="37" spans="1:44" s="112" customFormat="1" ht="47.25">
      <c r="A37" s="114"/>
      <c r="B37" s="148" t="s">
        <v>113</v>
      </c>
      <c r="C37" s="132">
        <f>'Osthoff-1'!$T$35</f>
        <v>0</v>
      </c>
      <c r="D37" s="132">
        <f>C37*100/C10</f>
        <v>0</v>
      </c>
      <c r="E37" s="132">
        <f>'Osthoff-2'!$T$35</f>
        <v>0</v>
      </c>
      <c r="F37" s="132">
        <f>E37*100/E10</f>
        <v>0</v>
      </c>
      <c r="G37" s="132">
        <f>PTR!T35</f>
        <v>0</v>
      </c>
      <c r="H37" s="132">
        <f>G37*100/G10</f>
        <v>0</v>
      </c>
      <c r="I37" s="132">
        <f>Perble!$T$35</f>
        <v>0</v>
      </c>
      <c r="J37" s="132">
        <f>100/I10*I37</f>
        <v>0</v>
      </c>
      <c r="K37" s="132">
        <f>'Merceriser-1'!T35</f>
        <v>0</v>
      </c>
      <c r="L37" s="132">
        <f>K37*100/K10</f>
        <v>0</v>
      </c>
      <c r="M37" s="132">
        <f>'Merceriser-2'!T35</f>
        <v>0</v>
      </c>
      <c r="N37" s="132">
        <f>M37*100/M10</f>
        <v>0</v>
      </c>
      <c r="O37" s="132">
        <f>NPS!T35</f>
        <v>0</v>
      </c>
      <c r="P37" s="132">
        <f>O37*100/O10</f>
        <v>0</v>
      </c>
      <c r="Q37" s="132"/>
      <c r="R37" s="149" t="s">
        <v>113</v>
      </c>
      <c r="S37" s="132">
        <f>'Xetma-2'!T35</f>
        <v>0</v>
      </c>
      <c r="T37" s="132">
        <f>S37*100/S10</f>
        <v>0</v>
      </c>
      <c r="U37" s="132">
        <f>'Xetma-3'!$T$35</f>
        <v>0</v>
      </c>
      <c r="V37" s="145">
        <f>U37*100/U10</f>
        <v>0</v>
      </c>
      <c r="W37" s="132">
        <f>'Lafer-1'!$T$35</f>
        <v>0</v>
      </c>
      <c r="X37" s="132">
        <f>+W37*100/W10</f>
        <v>0</v>
      </c>
      <c r="Y37" s="132">
        <f>'Lafer-2'!$T$35</f>
        <v>0</v>
      </c>
      <c r="Z37" s="132">
        <f>+Y37*100/Y10</f>
        <v>0</v>
      </c>
      <c r="AA37" s="132">
        <f>'Lafer-3'!$T$35</f>
        <v>0</v>
      </c>
      <c r="AB37" s="132">
        <f>+AA37*100/AA10</f>
        <v>0</v>
      </c>
      <c r="AC37" s="132">
        <f>'Lafer-4'!$T$35</f>
        <v>0</v>
      </c>
      <c r="AD37" s="132">
        <f>+AC37*100/AC10</f>
        <v>0</v>
      </c>
      <c r="AE37" s="132">
        <f>'Lafer-5-Raising'!$T$35</f>
        <v>0</v>
      </c>
      <c r="AF37" s="146">
        <f>AE37*100/AE10</f>
        <v>0</v>
      </c>
      <c r="AG37" s="132">
        <f>'Lafer-5-Shearing'!$T$35</f>
        <v>0</v>
      </c>
      <c r="AH37" s="146">
        <f>AG37*100/AG10</f>
        <v>0</v>
      </c>
      <c r="AI37" s="132">
        <f>'Lafer-4'!$T$35</f>
        <v>0</v>
      </c>
      <c r="AJ37" s="132">
        <f>+AI37*100/AI10</f>
        <v>0</v>
      </c>
      <c r="AK37" s="132">
        <f>Soaper!$T$35</f>
        <v>0</v>
      </c>
      <c r="AL37" s="119">
        <f>+AK37*100/AK10</f>
        <v>0</v>
      </c>
      <c r="AM37" s="119"/>
      <c r="AN37" s="150" t="s">
        <v>113</v>
      </c>
      <c r="AO37" s="119" t="e">
        <f>+#REF!</f>
        <v>#REF!</v>
      </c>
      <c r="AP37" s="119" t="e">
        <f>AO37*100/AO10</f>
        <v>#REF!</v>
      </c>
      <c r="AQ37" s="119" t="e">
        <f>+#REF!</f>
        <v>#REF!</v>
      </c>
      <c r="AR37" s="119" t="e">
        <f>AQ37*100/AQ10</f>
        <v>#REF!</v>
      </c>
    </row>
    <row r="38" spans="1:44" s="112" customFormat="1" ht="15.75">
      <c r="A38" s="114"/>
      <c r="B38" s="113" t="s">
        <v>114</v>
      </c>
      <c r="C38" s="132">
        <f>'Osthoff-1'!$U$35</f>
        <v>0</v>
      </c>
      <c r="D38" s="132">
        <f>C38*100/C10</f>
        <v>0</v>
      </c>
      <c r="E38" s="132">
        <f>'Osthoff-2'!$U$35</f>
        <v>0</v>
      </c>
      <c r="F38" s="132">
        <f>E38*100/E10</f>
        <v>0</v>
      </c>
      <c r="G38" s="132">
        <f>PTR!$U$35</f>
        <v>0</v>
      </c>
      <c r="H38" s="132">
        <f>G38*100/G10</f>
        <v>0</v>
      </c>
      <c r="I38" s="132">
        <f>Perble!$U$35</f>
        <v>0</v>
      </c>
      <c r="J38" s="132">
        <f>I38*100/I10</f>
        <v>0</v>
      </c>
      <c r="K38" s="132">
        <f>'Merceriser-1'!U35</f>
        <v>0</v>
      </c>
      <c r="L38" s="132">
        <f>K38*100/K10</f>
        <v>0</v>
      </c>
      <c r="M38" s="132">
        <f>'Merceriser-2'!U35</f>
        <v>0</v>
      </c>
      <c r="N38" s="132">
        <f>M38*100/M10</f>
        <v>0</v>
      </c>
      <c r="O38" s="132">
        <f>NPS!U35</f>
        <v>0</v>
      </c>
      <c r="P38" s="132">
        <f>O38*100/O10</f>
        <v>0</v>
      </c>
      <c r="Q38" s="132"/>
      <c r="R38" s="132" t="s">
        <v>114</v>
      </c>
      <c r="S38" s="132">
        <f>'Xetma-2'!U35</f>
        <v>0</v>
      </c>
      <c r="T38" s="132">
        <f>S38*100/S10</f>
        <v>0</v>
      </c>
      <c r="U38" s="132">
        <f>'Xetma-3'!$U$35</f>
        <v>0</v>
      </c>
      <c r="V38" s="132">
        <f>U38*100/U10</f>
        <v>0</v>
      </c>
      <c r="W38" s="132">
        <f>'Lafer-1'!$U$35</f>
        <v>0</v>
      </c>
      <c r="X38" s="132">
        <f>W38*100/W10</f>
        <v>0</v>
      </c>
      <c r="Y38" s="132">
        <f>'Lafer-2'!$U$35</f>
        <v>0</v>
      </c>
      <c r="Z38" s="132">
        <f>Y38*100/Y10</f>
        <v>0</v>
      </c>
      <c r="AA38" s="132">
        <f>'Lafer-3'!$U$35</f>
        <v>0</v>
      </c>
      <c r="AB38" s="132">
        <f>AA38*100/AA10</f>
        <v>0</v>
      </c>
      <c r="AC38" s="132">
        <f>'Lafer-4'!$U$35</f>
        <v>0</v>
      </c>
      <c r="AD38" s="132">
        <f>AC38*100/AC10</f>
        <v>0</v>
      </c>
      <c r="AE38" s="132">
        <f>'Lafer-5-Raising'!$U$35</f>
        <v>0</v>
      </c>
      <c r="AF38" s="146">
        <f>AE38*100/AE10</f>
        <v>0</v>
      </c>
      <c r="AG38" s="132">
        <f>'Lafer-5-Shearing'!$U$35</f>
        <v>0</v>
      </c>
      <c r="AH38" s="146">
        <f>AG38*100/AG10</f>
        <v>0</v>
      </c>
      <c r="AI38" s="132">
        <f>'Lafer-4'!$U$35</f>
        <v>0</v>
      </c>
      <c r="AJ38" s="132">
        <f>AI38*100/AI10</f>
        <v>0</v>
      </c>
      <c r="AK38" s="132">
        <f>Soaper!$U$35</f>
        <v>0</v>
      </c>
      <c r="AL38" s="119">
        <f>AK38*100/AK10</f>
        <v>0</v>
      </c>
      <c r="AM38" s="119"/>
      <c r="AN38" s="114" t="s">
        <v>114</v>
      </c>
      <c r="AO38" s="119" t="e">
        <f>+#REF!</f>
        <v>#REF!</v>
      </c>
      <c r="AP38" s="119" t="e">
        <f>AO38*100/AO10</f>
        <v>#REF!</v>
      </c>
      <c r="AQ38" s="119" t="e">
        <f>+#REF!</f>
        <v>#REF!</v>
      </c>
      <c r="AR38" s="119" t="e">
        <f>AQ38*100/AQ10</f>
        <v>#REF!</v>
      </c>
    </row>
    <row r="39" spans="1:44" s="112" customFormat="1" ht="15.75">
      <c r="A39" s="114"/>
      <c r="B39" s="113" t="s">
        <v>115</v>
      </c>
      <c r="C39" s="132">
        <f>'Osthoff-1'!$V$35</f>
        <v>0</v>
      </c>
      <c r="D39" s="132">
        <f>C39*100/C10</f>
        <v>0</v>
      </c>
      <c r="E39" s="132">
        <f>'Osthoff-2'!$V$35</f>
        <v>0</v>
      </c>
      <c r="F39" s="132">
        <f>E39*100/E10</f>
        <v>0</v>
      </c>
      <c r="G39" s="132">
        <f>PTR!$V$35</f>
        <v>0</v>
      </c>
      <c r="H39" s="132">
        <f>G39*100/G10</f>
        <v>0</v>
      </c>
      <c r="I39" s="132">
        <f>Perble!$V$35</f>
        <v>0</v>
      </c>
      <c r="J39" s="132">
        <f>100/I10*I39</f>
        <v>0</v>
      </c>
      <c r="K39" s="132">
        <f>'Merceriser-1'!V35</f>
        <v>0</v>
      </c>
      <c r="L39" s="132">
        <f>100/K10*K39</f>
        <v>0</v>
      </c>
      <c r="M39" s="132">
        <f>'Merceriser-2'!X35</f>
        <v>0</v>
      </c>
      <c r="N39" s="132">
        <f>100/M10*M39</f>
        <v>0</v>
      </c>
      <c r="O39" s="132">
        <f>NPS!V35</f>
        <v>0</v>
      </c>
      <c r="P39" s="132">
        <f>100/O10*O39</f>
        <v>0</v>
      </c>
      <c r="Q39" s="132"/>
      <c r="R39" s="132" t="s">
        <v>115</v>
      </c>
      <c r="S39" s="132">
        <f>'Xetma-2'!V35</f>
        <v>0</v>
      </c>
      <c r="T39" s="132">
        <f>100/S10*S39</f>
        <v>0</v>
      </c>
      <c r="U39" s="132">
        <f>'Xetma-3'!$V$35</f>
        <v>0</v>
      </c>
      <c r="V39" s="145">
        <f>100/U10*U39</f>
        <v>0</v>
      </c>
      <c r="W39" s="132">
        <f>'Lafer-1'!$V$35</f>
        <v>0</v>
      </c>
      <c r="X39" s="132">
        <f>100/W10*W39</f>
        <v>0</v>
      </c>
      <c r="Y39" s="132">
        <f>'Lafer-2'!$V$35</f>
        <v>0</v>
      </c>
      <c r="Z39" s="132">
        <f>100/Y10*Y39</f>
        <v>0</v>
      </c>
      <c r="AA39" s="132">
        <f>'Lafer-3'!$V$35</f>
        <v>0</v>
      </c>
      <c r="AB39" s="132">
        <f>100/AA10*AA39</f>
        <v>0</v>
      </c>
      <c r="AC39" s="132">
        <f>'Lafer-4'!$V$35</f>
        <v>0</v>
      </c>
      <c r="AD39" s="132">
        <f>100/AC10*AC39</f>
        <v>0</v>
      </c>
      <c r="AE39" s="132">
        <f>'Lafer-5-Raising'!$V$35</f>
        <v>0</v>
      </c>
      <c r="AF39" s="146">
        <f>100/AE10*AE39</f>
        <v>0</v>
      </c>
      <c r="AG39" s="132">
        <f>'Lafer-5-Shearing'!$V$35</f>
        <v>0</v>
      </c>
      <c r="AH39" s="146">
        <f>100/AG10*AG39</f>
        <v>0</v>
      </c>
      <c r="AI39" s="132">
        <f>'Lafer-4'!$V$35</f>
        <v>0</v>
      </c>
      <c r="AJ39" s="132">
        <f>100/AI10*AI39</f>
        <v>0</v>
      </c>
      <c r="AK39" s="132">
        <f>Soaper!$V$35</f>
        <v>0</v>
      </c>
      <c r="AL39" s="119">
        <f>100/AK10*AK39</f>
        <v>0</v>
      </c>
      <c r="AM39" s="119"/>
      <c r="AN39" s="114" t="s">
        <v>115</v>
      </c>
      <c r="AO39" s="119" t="e">
        <f>+#REF!</f>
        <v>#REF!</v>
      </c>
      <c r="AP39" s="119" t="e">
        <f>100/AO10*AO39</f>
        <v>#REF!</v>
      </c>
      <c r="AQ39" s="119" t="e">
        <f>+#REF!</f>
        <v>#REF!</v>
      </c>
      <c r="AR39" s="119" t="e">
        <f>100/AQ10*AQ39</f>
        <v>#REF!</v>
      </c>
    </row>
    <row r="40" spans="1:44" s="112" customFormat="1" ht="15.75">
      <c r="A40" s="113"/>
      <c r="B40" s="138" t="s">
        <v>98</v>
      </c>
      <c r="C40" s="143">
        <f t="shared" ref="C40:P40" si="14">SUM(C33:C39)</f>
        <v>0</v>
      </c>
      <c r="D40" s="143">
        <f t="shared" si="14"/>
        <v>0</v>
      </c>
      <c r="E40" s="139">
        <f t="shared" si="14"/>
        <v>0</v>
      </c>
      <c r="F40" s="139">
        <f t="shared" si="14"/>
        <v>0</v>
      </c>
      <c r="G40" s="139">
        <f t="shared" si="14"/>
        <v>0</v>
      </c>
      <c r="H40" s="139">
        <f t="shared" si="14"/>
        <v>0</v>
      </c>
      <c r="I40" s="139">
        <f t="shared" ref="I40" si="15">SUM(I33:I39)</f>
        <v>0</v>
      </c>
      <c r="J40" s="141">
        <f t="shared" si="14"/>
        <v>0</v>
      </c>
      <c r="K40" s="139">
        <f t="shared" si="14"/>
        <v>0</v>
      </c>
      <c r="L40" s="143">
        <f t="shared" si="14"/>
        <v>0</v>
      </c>
      <c r="M40" s="151">
        <f t="shared" ref="M40:O40" si="16">SUM(M33:M39)</f>
        <v>0</v>
      </c>
      <c r="N40" s="143">
        <f t="shared" si="14"/>
        <v>0</v>
      </c>
      <c r="O40" s="151">
        <f t="shared" si="16"/>
        <v>0</v>
      </c>
      <c r="P40" s="143" t="e">
        <f t="shared" si="14"/>
        <v>#REF!</v>
      </c>
      <c r="Q40" s="143"/>
      <c r="R40" s="143" t="s">
        <v>98</v>
      </c>
      <c r="S40" s="151">
        <f t="shared" ref="S40:AL40" si="17">SUM(S33:S39)</f>
        <v>0</v>
      </c>
      <c r="T40" s="143">
        <f t="shared" si="17"/>
        <v>0</v>
      </c>
      <c r="U40" s="151">
        <f t="shared" si="17"/>
        <v>0</v>
      </c>
      <c r="V40" s="143">
        <f t="shared" si="17"/>
        <v>0</v>
      </c>
      <c r="W40" s="151">
        <f t="shared" si="17"/>
        <v>0</v>
      </c>
      <c r="X40" s="143">
        <f t="shared" si="17"/>
        <v>0</v>
      </c>
      <c r="Y40" s="151">
        <f t="shared" si="17"/>
        <v>0</v>
      </c>
      <c r="Z40" s="143">
        <f t="shared" si="17"/>
        <v>0</v>
      </c>
      <c r="AA40" s="151">
        <f t="shared" si="17"/>
        <v>0</v>
      </c>
      <c r="AB40" s="143">
        <f t="shared" si="17"/>
        <v>0</v>
      </c>
      <c r="AC40" s="151">
        <f t="shared" si="17"/>
        <v>0</v>
      </c>
      <c r="AD40" s="143">
        <f t="shared" si="17"/>
        <v>0</v>
      </c>
      <c r="AE40" s="151">
        <f t="shared" si="17"/>
        <v>0</v>
      </c>
      <c r="AF40" s="143">
        <f t="shared" si="17"/>
        <v>0</v>
      </c>
      <c r="AG40" s="151">
        <f t="shared" si="17"/>
        <v>0</v>
      </c>
      <c r="AH40" s="143">
        <f t="shared" si="17"/>
        <v>0</v>
      </c>
      <c r="AI40" s="151">
        <f t="shared" si="17"/>
        <v>0</v>
      </c>
      <c r="AJ40" s="143">
        <f t="shared" si="17"/>
        <v>0</v>
      </c>
      <c r="AK40" s="151">
        <f t="shared" si="17"/>
        <v>0</v>
      </c>
      <c r="AL40" s="143">
        <f t="shared" si="17"/>
        <v>0</v>
      </c>
      <c r="AM40" s="143"/>
      <c r="AN40" s="143" t="s">
        <v>98</v>
      </c>
      <c r="AO40" s="143" t="e">
        <f>SUM(AO33:AO39)</f>
        <v>#REF!</v>
      </c>
      <c r="AP40" s="143" t="e">
        <f>SUM(AP33:AP39)</f>
        <v>#REF!</v>
      </c>
      <c r="AQ40" s="143" t="e">
        <f>SUM(AQ33:AQ39)</f>
        <v>#REF!</v>
      </c>
      <c r="AR40" s="143" t="e">
        <f>SUM(AR33:AR39)</f>
        <v>#REF!</v>
      </c>
    </row>
    <row r="41" spans="1:44" s="112" customFormat="1" ht="15.75">
      <c r="A41" s="114"/>
      <c r="B41" s="113"/>
      <c r="C41" s="119"/>
      <c r="D41" s="119"/>
      <c r="E41" s="119"/>
      <c r="F41" s="119"/>
      <c r="G41" s="119"/>
      <c r="H41" s="119"/>
      <c r="I41" s="119"/>
      <c r="J41" s="126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24"/>
      <c r="W41" s="119"/>
      <c r="X41" s="119"/>
      <c r="Y41" s="119"/>
      <c r="Z41" s="119"/>
      <c r="AA41" s="119"/>
      <c r="AB41" s="119"/>
      <c r="AC41" s="119"/>
      <c r="AD41" s="119"/>
      <c r="AE41" s="119"/>
      <c r="AF41" s="125"/>
      <c r="AG41" s="119"/>
      <c r="AH41" s="125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</row>
    <row r="42" spans="1:44" s="112" customFormat="1" ht="15.75">
      <c r="A42" s="114"/>
      <c r="B42" s="113"/>
      <c r="C42" s="152"/>
      <c r="D42" s="153"/>
      <c r="E42" s="152"/>
      <c r="F42" s="153"/>
      <c r="G42" s="152"/>
      <c r="H42" s="153"/>
      <c r="I42" s="152"/>
      <c r="J42" s="126"/>
      <c r="K42" s="152"/>
      <c r="L42" s="153"/>
      <c r="M42" s="152"/>
      <c r="N42" s="153"/>
      <c r="O42" s="152"/>
      <c r="P42" s="153"/>
      <c r="Q42" s="119"/>
      <c r="R42" s="119"/>
      <c r="S42" s="152"/>
      <c r="T42" s="119"/>
      <c r="U42" s="152"/>
      <c r="V42" s="124"/>
      <c r="W42" s="152"/>
      <c r="X42" s="119"/>
      <c r="Y42" s="152"/>
      <c r="Z42" s="119"/>
      <c r="AA42" s="152"/>
      <c r="AB42" s="119"/>
      <c r="AC42" s="152"/>
      <c r="AD42" s="119"/>
      <c r="AE42" s="152"/>
      <c r="AF42" s="154"/>
      <c r="AG42" s="152"/>
      <c r="AH42" s="154"/>
      <c r="AI42" s="152"/>
      <c r="AJ42" s="119"/>
      <c r="AK42" s="152"/>
      <c r="AL42" s="119"/>
      <c r="AM42" s="119"/>
      <c r="AN42" s="119"/>
      <c r="AO42" s="152"/>
      <c r="AP42" s="153"/>
      <c r="AQ42" s="152"/>
      <c r="AR42" s="153"/>
    </row>
    <row r="43" spans="1:44" s="112" customFormat="1" ht="15.75">
      <c r="A43" s="114"/>
      <c r="B43" s="113" t="s">
        <v>116</v>
      </c>
      <c r="C43" s="152">
        <f>'Osthoff-1'!D345</f>
        <v>0</v>
      </c>
      <c r="D43" s="153"/>
      <c r="E43" s="152">
        <f>'Osthoff-2'!D35</f>
        <v>0</v>
      </c>
      <c r="F43" s="153"/>
      <c r="G43" s="152">
        <f>PTR!D35</f>
        <v>0</v>
      </c>
      <c r="H43" s="153"/>
      <c r="I43" s="152">
        <f>Perble!D35</f>
        <v>0</v>
      </c>
      <c r="J43" s="119"/>
      <c r="K43" s="155">
        <f>'Merceriser-1'!D35</f>
        <v>0</v>
      </c>
      <c r="L43" s="156"/>
      <c r="M43" s="155">
        <f>'Merceriser-2'!D35</f>
        <v>0</v>
      </c>
      <c r="N43" s="156"/>
      <c r="O43" s="155">
        <f>NPS!D35</f>
        <v>0</v>
      </c>
      <c r="P43" s="156"/>
      <c r="Q43" s="118"/>
      <c r="R43" s="127" t="s">
        <v>116</v>
      </c>
      <c r="S43" s="155">
        <f>'Xetma-2'!D35</f>
        <v>0</v>
      </c>
      <c r="T43" s="118"/>
      <c r="U43" s="155">
        <f>'Xetma-3'!$H$35</f>
        <v>0</v>
      </c>
      <c r="V43" s="121"/>
      <c r="W43" s="155">
        <f>'Lafer-1'!$H$35</f>
        <v>0</v>
      </c>
      <c r="X43" s="118"/>
      <c r="Y43" s="155">
        <f>'Lafer-2'!$H$35</f>
        <v>0</v>
      </c>
      <c r="Z43" s="118"/>
      <c r="AA43" s="155">
        <f>'Lafer-3'!$H$35</f>
        <v>0</v>
      </c>
      <c r="AB43" s="118"/>
      <c r="AC43" s="155">
        <f>'Lafer-4'!$H$35</f>
        <v>0</v>
      </c>
      <c r="AD43" s="118"/>
      <c r="AE43" s="155">
        <f>'Lafer-5-Raising'!$H$35</f>
        <v>0</v>
      </c>
      <c r="AF43" s="157"/>
      <c r="AG43" s="155">
        <f>'Lafer-5-Shearing'!$H$35</f>
        <v>0</v>
      </c>
      <c r="AH43" s="157"/>
      <c r="AI43" s="155">
        <f>'Lafer-4'!$H$35</f>
        <v>0</v>
      </c>
      <c r="AJ43" s="118"/>
      <c r="AK43" s="155">
        <f>Soaper!$H$35</f>
        <v>0</v>
      </c>
      <c r="AL43" s="119"/>
      <c r="AM43" s="119"/>
      <c r="AN43" s="126" t="s">
        <v>116</v>
      </c>
      <c r="AO43" s="152" t="e">
        <f>+#REF!</f>
        <v>#REF!</v>
      </c>
      <c r="AP43" s="153"/>
      <c r="AQ43" s="152" t="e">
        <f>+#REF!</f>
        <v>#REF!</v>
      </c>
      <c r="AR43" s="153"/>
    </row>
    <row r="44" spans="1:44" s="112" customFormat="1" ht="15.75">
      <c r="A44" s="114"/>
      <c r="B44" s="113" t="s">
        <v>117</v>
      </c>
      <c r="C44" s="152" t="e">
        <f>+C43/C4*100</f>
        <v>#DIV/0!</v>
      </c>
      <c r="D44" s="153"/>
      <c r="E44" s="152" t="e">
        <f>+E43/E4*100</f>
        <v>#DIV/0!</v>
      </c>
      <c r="F44" s="153"/>
      <c r="G44" s="152" t="e">
        <f>+G43/G4*100</f>
        <v>#DIV/0!</v>
      </c>
      <c r="H44" s="153"/>
      <c r="I44" s="152" t="e">
        <f>+I43/I4*100</f>
        <v>#DIV/0!</v>
      </c>
      <c r="J44" s="153"/>
      <c r="K44" s="155" t="str">
        <f>IFERROR(+K43/K4*100,"")</f>
        <v/>
      </c>
      <c r="L44" s="155" t="str">
        <f t="shared" ref="L44:AL44" si="18">IFERROR(+L43/L4*100,"")</f>
        <v/>
      </c>
      <c r="M44" s="155" t="str">
        <f t="shared" si="18"/>
        <v/>
      </c>
      <c r="N44" s="155" t="str">
        <f t="shared" si="18"/>
        <v/>
      </c>
      <c r="O44" s="155" t="str">
        <f t="shared" si="18"/>
        <v/>
      </c>
      <c r="P44" s="155" t="str">
        <f t="shared" si="18"/>
        <v/>
      </c>
      <c r="Q44" s="155">
        <f t="shared" si="18"/>
        <v>0</v>
      </c>
      <c r="R44" s="155" t="str">
        <f t="shared" si="18"/>
        <v/>
      </c>
      <c r="S44" s="155" t="str">
        <f t="shared" si="18"/>
        <v/>
      </c>
      <c r="T44" s="155" t="str">
        <f t="shared" si="18"/>
        <v/>
      </c>
      <c r="U44" s="155" t="str">
        <f t="shared" si="18"/>
        <v/>
      </c>
      <c r="V44" s="155" t="str">
        <f t="shared" si="18"/>
        <v/>
      </c>
      <c r="W44" s="155" t="str">
        <f t="shared" si="18"/>
        <v/>
      </c>
      <c r="X44" s="155" t="str">
        <f t="shared" si="18"/>
        <v/>
      </c>
      <c r="Y44" s="155" t="str">
        <f t="shared" si="18"/>
        <v/>
      </c>
      <c r="Z44" s="155" t="str">
        <f t="shared" si="18"/>
        <v/>
      </c>
      <c r="AA44" s="155" t="str">
        <f t="shared" si="18"/>
        <v/>
      </c>
      <c r="AB44" s="155" t="str">
        <f t="shared" si="18"/>
        <v/>
      </c>
      <c r="AC44" s="155" t="str">
        <f t="shared" si="18"/>
        <v/>
      </c>
      <c r="AD44" s="155" t="str">
        <f t="shared" si="18"/>
        <v/>
      </c>
      <c r="AE44" s="155" t="str">
        <f t="shared" si="18"/>
        <v/>
      </c>
      <c r="AF44" s="155" t="str">
        <f t="shared" si="18"/>
        <v/>
      </c>
      <c r="AG44" s="155" t="str">
        <f t="shared" si="18"/>
        <v/>
      </c>
      <c r="AH44" s="155" t="str">
        <f t="shared" si="18"/>
        <v/>
      </c>
      <c r="AI44" s="155" t="str">
        <f t="shared" si="18"/>
        <v/>
      </c>
      <c r="AJ44" s="155" t="str">
        <f t="shared" si="18"/>
        <v/>
      </c>
      <c r="AK44" s="155" t="str">
        <f t="shared" si="18"/>
        <v/>
      </c>
      <c r="AL44" s="152" t="str">
        <f t="shared" si="18"/>
        <v/>
      </c>
      <c r="AM44" s="119"/>
      <c r="AN44" s="126" t="s">
        <v>117</v>
      </c>
      <c r="AO44" s="152" t="e">
        <f>+AO43/AO4*100</f>
        <v>#REF!</v>
      </c>
      <c r="AP44" s="153"/>
      <c r="AQ44" s="152" t="e">
        <f>+AQ43/AQ4*100</f>
        <v>#REF!</v>
      </c>
      <c r="AR44" s="153"/>
    </row>
    <row r="45" spans="1:44" s="112" customFormat="1" ht="15.75">
      <c r="A45" s="113"/>
      <c r="B45" s="130" t="s">
        <v>118</v>
      </c>
      <c r="C45" s="131" t="s">
        <v>119</v>
      </c>
      <c r="D45" s="131" t="s">
        <v>120</v>
      </c>
      <c r="E45" s="131" t="s">
        <v>119</v>
      </c>
      <c r="F45" s="131" t="s">
        <v>120</v>
      </c>
      <c r="G45" s="131" t="s">
        <v>119</v>
      </c>
      <c r="H45" s="131" t="s">
        <v>120</v>
      </c>
      <c r="I45" s="131" t="s">
        <v>119</v>
      </c>
      <c r="J45" s="131" t="s">
        <v>120</v>
      </c>
      <c r="K45" s="131" t="s">
        <v>119</v>
      </c>
      <c r="L45" s="131" t="s">
        <v>120</v>
      </c>
      <c r="M45" s="131" t="s">
        <v>119</v>
      </c>
      <c r="N45" s="131" t="s">
        <v>120</v>
      </c>
      <c r="O45" s="131" t="s">
        <v>119</v>
      </c>
      <c r="P45" s="131" t="s">
        <v>120</v>
      </c>
      <c r="Q45" s="131"/>
      <c r="R45" s="131" t="s">
        <v>118</v>
      </c>
      <c r="S45" s="131" t="s">
        <v>119</v>
      </c>
      <c r="T45" s="131" t="s">
        <v>120</v>
      </c>
      <c r="U45" s="131" t="s">
        <v>119</v>
      </c>
      <c r="V45" s="131" t="s">
        <v>120</v>
      </c>
      <c r="W45" s="131" t="s">
        <v>119</v>
      </c>
      <c r="X45" s="131" t="s">
        <v>120</v>
      </c>
      <c r="Y45" s="131" t="s">
        <v>119</v>
      </c>
      <c r="Z45" s="131" t="s">
        <v>120</v>
      </c>
      <c r="AA45" s="131" t="s">
        <v>119</v>
      </c>
      <c r="AB45" s="131" t="s">
        <v>120</v>
      </c>
      <c r="AC45" s="131" t="s">
        <v>119</v>
      </c>
      <c r="AD45" s="131" t="s">
        <v>120</v>
      </c>
      <c r="AE45" s="131" t="s">
        <v>119</v>
      </c>
      <c r="AF45" s="131" t="s">
        <v>120</v>
      </c>
      <c r="AG45" s="131" t="s">
        <v>119</v>
      </c>
      <c r="AH45" s="131" t="s">
        <v>120</v>
      </c>
      <c r="AI45" s="131" t="s">
        <v>119</v>
      </c>
      <c r="AJ45" s="131" t="s">
        <v>120</v>
      </c>
      <c r="AK45" s="131" t="s">
        <v>119</v>
      </c>
      <c r="AL45" s="131" t="s">
        <v>120</v>
      </c>
      <c r="AM45" s="131"/>
      <c r="AN45" s="131" t="s">
        <v>118</v>
      </c>
      <c r="AO45" s="131" t="s">
        <v>119</v>
      </c>
      <c r="AP45" s="131" t="s">
        <v>120</v>
      </c>
      <c r="AQ45" s="131" t="s">
        <v>119</v>
      </c>
      <c r="AR45" s="131" t="s">
        <v>120</v>
      </c>
    </row>
    <row r="46" spans="1:44" s="112" customFormat="1" ht="15.75">
      <c r="A46" s="150"/>
      <c r="B46" s="148"/>
      <c r="C46" s="148"/>
      <c r="D46" s="148"/>
      <c r="E46" s="148"/>
      <c r="F46" s="14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9"/>
      <c r="S46" s="158"/>
      <c r="T46" s="158"/>
      <c r="U46" s="158"/>
      <c r="V46" s="160"/>
      <c r="W46" s="158"/>
      <c r="X46" s="161"/>
      <c r="Y46" s="158"/>
      <c r="Z46" s="161"/>
      <c r="AA46" s="158"/>
      <c r="AB46" s="162"/>
      <c r="AC46" s="158"/>
      <c r="AD46" s="162"/>
      <c r="AE46" s="158"/>
      <c r="AF46" s="163"/>
      <c r="AG46" s="158"/>
      <c r="AH46" s="163"/>
      <c r="AI46" s="158"/>
      <c r="AJ46" s="158"/>
      <c r="AK46" s="158"/>
      <c r="AL46" s="158"/>
      <c r="AM46" s="158"/>
      <c r="AN46" s="159"/>
      <c r="AO46" s="158"/>
      <c r="AP46" s="158"/>
      <c r="AQ46" s="158"/>
      <c r="AR46" s="158"/>
    </row>
    <row r="47" spans="1:44" s="112" customFormat="1" ht="15.75">
      <c r="A47" s="114"/>
      <c r="B47" s="113"/>
      <c r="C47" s="164"/>
      <c r="D47" s="164"/>
      <c r="E47" s="164"/>
      <c r="F47" s="164"/>
      <c r="H47" s="119"/>
      <c r="J47" s="119"/>
      <c r="L47" s="119"/>
      <c r="N47" s="119"/>
      <c r="P47" s="119"/>
      <c r="Q47" s="119"/>
      <c r="R47" s="126"/>
      <c r="T47" s="165"/>
      <c r="V47" s="166"/>
      <c r="X47" s="167"/>
      <c r="Z47" s="167"/>
      <c r="AB47" s="168"/>
      <c r="AD47" s="168"/>
      <c r="AF47" s="169"/>
      <c r="AH47" s="169"/>
      <c r="AJ47" s="119"/>
      <c r="AL47" s="119"/>
      <c r="AM47" s="119"/>
      <c r="AN47" s="126"/>
      <c r="AO47" s="119"/>
      <c r="AP47" s="119"/>
      <c r="AQ47" s="119"/>
      <c r="AR47" s="119"/>
    </row>
    <row r="48" spans="1:44" s="112" customFormat="1" ht="15.75">
      <c r="A48" s="114"/>
      <c r="B48" s="113"/>
      <c r="C48" s="114"/>
      <c r="D48" s="114"/>
      <c r="E48" s="114"/>
      <c r="F48" s="114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70"/>
      <c r="U48" s="119"/>
      <c r="V48" s="171"/>
      <c r="W48" s="119"/>
      <c r="X48" s="170"/>
      <c r="Y48" s="119"/>
      <c r="Z48" s="170"/>
      <c r="AA48" s="119"/>
      <c r="AB48" s="170"/>
      <c r="AC48" s="119"/>
      <c r="AD48" s="170"/>
      <c r="AE48" s="119"/>
      <c r="AF48" s="172"/>
      <c r="AG48" s="119"/>
      <c r="AH48" s="172"/>
      <c r="AI48" s="119"/>
      <c r="AJ48" s="170"/>
      <c r="AK48" s="119"/>
      <c r="AL48" s="170"/>
      <c r="AM48" s="119"/>
      <c r="AN48" s="119"/>
      <c r="AO48" s="119"/>
      <c r="AP48" s="119"/>
      <c r="AQ48" s="119"/>
      <c r="AR48" s="119"/>
    </row>
    <row r="49" spans="1:44" s="112" customFormat="1" ht="15.75">
      <c r="A49" s="114"/>
      <c r="B49" s="113"/>
      <c r="C49" s="108"/>
      <c r="D49" s="108"/>
      <c r="E49" s="108"/>
      <c r="F49" s="108"/>
      <c r="G49" s="173"/>
      <c r="H49" s="170"/>
      <c r="I49" s="173"/>
      <c r="J49" s="170"/>
      <c r="K49" s="173"/>
      <c r="L49" s="170"/>
      <c r="M49" s="173"/>
      <c r="N49" s="170"/>
      <c r="O49" s="173"/>
      <c r="P49" s="170"/>
      <c r="Q49" s="119"/>
      <c r="R49" s="119"/>
      <c r="S49" s="173"/>
      <c r="T49" s="170"/>
      <c r="U49" s="173"/>
      <c r="V49" s="171"/>
      <c r="W49" s="173"/>
      <c r="X49" s="170"/>
      <c r="Y49" s="173"/>
      <c r="Z49" s="170"/>
      <c r="AA49" s="173"/>
      <c r="AB49" s="170"/>
      <c r="AC49" s="173"/>
      <c r="AD49" s="170"/>
      <c r="AE49" s="173"/>
      <c r="AF49" s="172"/>
      <c r="AG49" s="173"/>
      <c r="AH49" s="172"/>
      <c r="AI49" s="173"/>
      <c r="AJ49" s="170"/>
      <c r="AK49" s="173"/>
      <c r="AL49" s="170"/>
      <c r="AM49" s="119"/>
      <c r="AN49" s="119"/>
      <c r="AO49" s="170"/>
      <c r="AP49" s="170"/>
      <c r="AQ49" s="170"/>
      <c r="AR49" s="170"/>
    </row>
    <row r="50" spans="1:44" s="112" customFormat="1" ht="15.75">
      <c r="A50" s="174"/>
      <c r="B50" s="175"/>
      <c r="C50" s="174"/>
      <c r="D50" s="174"/>
      <c r="E50" s="174"/>
      <c r="F50" s="174"/>
      <c r="G50" s="176"/>
      <c r="H50" s="170"/>
      <c r="I50" s="176"/>
      <c r="J50" s="170"/>
      <c r="K50" s="176"/>
      <c r="L50" s="170"/>
      <c r="M50" s="176"/>
      <c r="N50" s="170"/>
      <c r="O50" s="176"/>
      <c r="P50" s="170"/>
      <c r="Q50" s="176"/>
      <c r="R50" s="176"/>
      <c r="S50" s="176"/>
      <c r="T50" s="170"/>
      <c r="U50" s="176"/>
      <c r="V50" s="171"/>
      <c r="W50" s="176"/>
      <c r="X50" s="170"/>
      <c r="Y50" s="176"/>
      <c r="Z50" s="170"/>
      <c r="AA50" s="176"/>
      <c r="AB50" s="170"/>
      <c r="AC50" s="176"/>
      <c r="AD50" s="170"/>
      <c r="AE50" s="176"/>
      <c r="AF50" s="172"/>
      <c r="AG50" s="176"/>
      <c r="AH50" s="172"/>
      <c r="AI50" s="176"/>
      <c r="AJ50" s="170"/>
      <c r="AK50" s="176"/>
      <c r="AL50" s="170"/>
      <c r="AM50" s="176"/>
      <c r="AN50" s="176"/>
      <c r="AO50" s="170"/>
      <c r="AP50" s="170"/>
      <c r="AQ50" s="170"/>
      <c r="AR50" s="170"/>
    </row>
    <row r="51" spans="1:44" s="112" customFormat="1" ht="15.75">
      <c r="A51" s="113"/>
      <c r="B51" s="138"/>
      <c r="C51" s="143">
        <f>C40+C28+C7</f>
        <v>0</v>
      </c>
      <c r="D51" s="143">
        <f>D40+D28+C8</f>
        <v>0</v>
      </c>
      <c r="E51" s="143">
        <f>E40+E28+E7</f>
        <v>0</v>
      </c>
      <c r="F51" s="143">
        <f>F40+F28+E8</f>
        <v>0</v>
      </c>
      <c r="G51" s="143">
        <f>G40+G28+G7</f>
        <v>0</v>
      </c>
      <c r="H51" s="143">
        <f>H40+H28+G8</f>
        <v>0</v>
      </c>
      <c r="I51" s="143">
        <f>I40+I28+I7</f>
        <v>0</v>
      </c>
      <c r="J51" s="177">
        <f>+J40+J28+I8</f>
        <v>0</v>
      </c>
      <c r="K51" s="143">
        <f>K40+K28+K7</f>
        <v>0</v>
      </c>
      <c r="L51" s="143">
        <f>+L40+L28+K8</f>
        <v>0</v>
      </c>
      <c r="M51" s="143">
        <f>M40+M28+M7</f>
        <v>0</v>
      </c>
      <c r="N51" s="143">
        <f>+N40+N28+M8</f>
        <v>0</v>
      </c>
      <c r="O51" s="143">
        <f>O40+O28+O7</f>
        <v>0</v>
      </c>
      <c r="P51" s="143" t="e">
        <f>+P40+P28+O8</f>
        <v>#REF!</v>
      </c>
      <c r="Q51" s="143"/>
      <c r="R51" s="143"/>
      <c r="S51" s="143">
        <f>S40+S28+S7</f>
        <v>0</v>
      </c>
      <c r="T51" s="143">
        <f>+T40+T28+S8</f>
        <v>0</v>
      </c>
      <c r="U51" s="143">
        <f>U40+U28+U7</f>
        <v>0</v>
      </c>
      <c r="V51" s="143">
        <f>+V40+V28+U8</f>
        <v>0</v>
      </c>
      <c r="W51" s="143">
        <f>W40+W28+W7</f>
        <v>0</v>
      </c>
      <c r="X51" s="143">
        <f>+X40+X28+W8</f>
        <v>0</v>
      </c>
      <c r="Y51" s="143">
        <f>Y40+Y28+Y7</f>
        <v>0</v>
      </c>
      <c r="Z51" s="143">
        <f>+Z40+Z28+Y8</f>
        <v>0</v>
      </c>
      <c r="AA51" s="143">
        <f>AA40+AA28+AA7</f>
        <v>0</v>
      </c>
      <c r="AB51" s="143">
        <f>+AB40+AB28+AA8</f>
        <v>0</v>
      </c>
      <c r="AC51" s="143">
        <f>AC40+AC28+AC7</f>
        <v>0</v>
      </c>
      <c r="AD51" s="143">
        <f>+AD40+AD28+AC8</f>
        <v>0</v>
      </c>
      <c r="AE51" s="143">
        <f>AE40+AE28+AE7</f>
        <v>0</v>
      </c>
      <c r="AF51" s="143">
        <f>+AF40+AF28+AE8</f>
        <v>0</v>
      </c>
      <c r="AG51" s="143">
        <f>AG40+AG28+AG7</f>
        <v>0</v>
      </c>
      <c r="AH51" s="143">
        <f>+AH40+AH28+AG8</f>
        <v>0</v>
      </c>
      <c r="AI51" s="143">
        <f>AI40+AI28+AI7</f>
        <v>0</v>
      </c>
      <c r="AJ51" s="143">
        <f>+AJ40+AJ28+AI8</f>
        <v>0</v>
      </c>
      <c r="AK51" s="143">
        <f>AK40+AK28+AK7</f>
        <v>0</v>
      </c>
      <c r="AL51" s="143">
        <f>+AL40+AL28+AK8</f>
        <v>0</v>
      </c>
      <c r="AM51" s="143"/>
      <c r="AN51" s="143"/>
      <c r="AO51" s="143" t="e">
        <f>+AO40+AO28+AO7</f>
        <v>#REF!</v>
      </c>
      <c r="AP51" s="143" t="e">
        <f>+AP40+AP28+AO8</f>
        <v>#REF!</v>
      </c>
      <c r="AQ51" s="143" t="e">
        <f>+AQ40+AQ28+AQ7</f>
        <v>#REF!</v>
      </c>
      <c r="AR51" s="143" t="e">
        <f>+AR40+AR28+AQ8</f>
        <v>#REF!</v>
      </c>
    </row>
    <row r="52" spans="1:44" ht="16.5" customHeight="1" thickBot="1">
      <c r="S52" s="179"/>
      <c r="U52" s="180"/>
      <c r="V52" s="181"/>
      <c r="AE52" s="182"/>
      <c r="AF52" s="182"/>
      <c r="AG52" s="182"/>
      <c r="AH52" s="182"/>
    </row>
    <row r="53" spans="1:44" ht="24.75" customHeight="1" thickTop="1">
      <c r="I53" s="183" t="s">
        <v>121</v>
      </c>
      <c r="J53" s="184" t="s">
        <v>122</v>
      </c>
      <c r="K53" s="184" t="s">
        <v>123</v>
      </c>
      <c r="L53" s="184" t="s">
        <v>124</v>
      </c>
      <c r="U53" s="181"/>
      <c r="V53" s="181"/>
      <c r="AE53" s="185"/>
      <c r="AF53" s="182"/>
      <c r="AG53" s="185"/>
      <c r="AH53" s="182"/>
    </row>
    <row r="54" spans="1:44" ht="18.75" customHeight="1">
      <c r="I54" s="186" t="s">
        <v>125</v>
      </c>
      <c r="J54" s="187">
        <f>'[1]Merceriser-1'!C35</f>
        <v>0</v>
      </c>
      <c r="K54" s="187">
        <f>'Merceriser-1'!D35</f>
        <v>0</v>
      </c>
      <c r="L54" s="188">
        <f>+K54+J54</f>
        <v>0</v>
      </c>
      <c r="S54" s="179"/>
      <c r="U54" s="180"/>
      <c r="V54" s="181"/>
      <c r="AE54" s="189"/>
      <c r="AF54" s="182"/>
      <c r="AG54" s="189"/>
      <c r="AH54" s="182"/>
    </row>
    <row r="55" spans="1:44" ht="13.5" thickBot="1">
      <c r="I55" s="190" t="s">
        <v>126</v>
      </c>
      <c r="J55" s="191">
        <f>'[1]Merceriser-2'!C35</f>
        <v>1766.9449999999999</v>
      </c>
      <c r="K55" s="192">
        <f>'Merceriser-2'!D35</f>
        <v>0</v>
      </c>
      <c r="L55" s="193">
        <f>+K55+J55</f>
        <v>1766.9449999999999</v>
      </c>
      <c r="U55" s="181"/>
      <c r="V55" s="181"/>
      <c r="AE55" s="182"/>
      <c r="AF55" s="182"/>
      <c r="AG55" s="182"/>
      <c r="AH55" s="182"/>
    </row>
    <row r="56" spans="1:44" ht="14.25" thickTop="1" thickBot="1">
      <c r="I56" s="194" t="s">
        <v>98</v>
      </c>
      <c r="J56" s="195">
        <f>SUM(J54:J55)</f>
        <v>1766.9449999999999</v>
      </c>
      <c r="K56" s="195">
        <f>SUM(K54:K55)</f>
        <v>0</v>
      </c>
      <c r="L56" s="195">
        <f>SUM(L54:L55)</f>
        <v>1766.9449999999999</v>
      </c>
      <c r="U56" s="181"/>
      <c r="V56" s="181"/>
      <c r="AE56" s="182"/>
      <c r="AF56" s="182"/>
      <c r="AG56" s="182"/>
      <c r="AH56" s="182"/>
    </row>
    <row r="57" spans="1:44" ht="14.25" thickTop="1" thickBot="1">
      <c r="I57" s="195" t="s">
        <v>125</v>
      </c>
      <c r="J57" s="195">
        <f>+K5</f>
        <v>0</v>
      </c>
      <c r="U57" s="181"/>
      <c r="V57" s="181"/>
      <c r="AE57" s="182"/>
      <c r="AF57" s="182"/>
      <c r="AG57" s="182"/>
      <c r="AH57" s="182"/>
    </row>
    <row r="58" spans="1:44" ht="14.25" thickTop="1" thickBot="1">
      <c r="I58" s="195" t="s">
        <v>126</v>
      </c>
      <c r="J58" s="195">
        <f>+M5</f>
        <v>0</v>
      </c>
      <c r="U58" s="181"/>
      <c r="V58" s="181"/>
      <c r="AE58" s="182"/>
      <c r="AF58" s="182"/>
      <c r="AG58" s="182"/>
      <c r="AH58" s="182"/>
    </row>
    <row r="59" spans="1:44" ht="14.25" thickTop="1" thickBot="1">
      <c r="I59" s="195" t="s">
        <v>127</v>
      </c>
      <c r="J59" s="195">
        <f>SUM(J57:J58)</f>
        <v>0</v>
      </c>
      <c r="K59" s="196"/>
      <c r="L59" s="196"/>
      <c r="U59" s="181"/>
      <c r="V59" s="181"/>
      <c r="AE59" s="182"/>
      <c r="AF59" s="182"/>
      <c r="AG59" s="182"/>
      <c r="AH59" s="182"/>
    </row>
    <row r="60" spans="1:44" ht="14.25" thickTop="1" thickBot="1">
      <c r="I60" s="195" t="s">
        <v>128</v>
      </c>
      <c r="J60" s="195" t="e">
        <f>+L56/J59*100</f>
        <v>#DIV/0!</v>
      </c>
      <c r="L60" s="196"/>
      <c r="U60" s="181"/>
      <c r="V60" s="181"/>
      <c r="AE60" s="182"/>
      <c r="AF60" s="182"/>
      <c r="AG60" s="182"/>
      <c r="AH60" s="182"/>
    </row>
    <row r="61" spans="1:44" ht="14.25" thickTop="1" thickBot="1">
      <c r="I61" s="194" t="s">
        <v>129</v>
      </c>
      <c r="J61" s="195" t="e">
        <f>+K56/J59*100</f>
        <v>#DIV/0!</v>
      </c>
      <c r="K61" s="196"/>
      <c r="L61" s="196"/>
      <c r="U61" s="181"/>
      <c r="V61" s="181"/>
      <c r="AE61" s="182"/>
      <c r="AF61" s="182"/>
      <c r="AG61" s="182"/>
      <c r="AH61" s="182"/>
    </row>
    <row r="62" spans="1:44" ht="13.5" customHeight="1" thickTop="1">
      <c r="U62" s="181"/>
      <c r="V62" s="181"/>
    </row>
    <row r="63" spans="1:44">
      <c r="U63" s="181"/>
      <c r="V63" s="181"/>
    </row>
    <row r="64" spans="1:44">
      <c r="U64" s="181"/>
      <c r="V64" s="181"/>
    </row>
    <row r="65" spans="21:22" s="98" customFormat="1">
      <c r="U65" s="181"/>
      <c r="V65" s="181"/>
    </row>
    <row r="66" spans="21:22" s="98" customFormat="1">
      <c r="U66" s="181"/>
      <c r="V66" s="181"/>
    </row>
  </sheetData>
  <sheetProtection selectLockedCells="1" selectUnlockedCells="1"/>
  <mergeCells count="3">
    <mergeCell ref="A1:P1"/>
    <mergeCell ref="Q1:AL1"/>
    <mergeCell ref="AM1:AR1"/>
  </mergeCells>
  <printOptions horizontalCentered="1" verticalCentered="1"/>
  <pageMargins left="0" right="0" top="0.196527777777778" bottom="0" header="0.50763888888888897" footer="0"/>
  <pageSetup scale="45" fitToHeight="2" orientation="landscape" r:id="rId1"/>
  <headerFooter alignWithMargins="0"/>
  <colBreaks count="3" manualBreakCount="3">
    <brk id="16" max="60" man="1"/>
    <brk id="38" max="60" man="1"/>
    <brk id="44" max="60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39"/>
  <sheetViews>
    <sheetView workbookViewId="0">
      <pane xSplit="1" ySplit="3" topLeftCell="B4" activePane="bottomRight" state="frozen"/>
      <selection pane="topRight"/>
      <selection pane="bottomLeft"/>
      <selection pane="bottomRight" activeCell="F60" sqref="F60"/>
    </sheetView>
  </sheetViews>
  <sheetFormatPr defaultColWidth="9.140625" defaultRowHeight="12.75"/>
  <cols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5.7109375" customWidth="1"/>
    <col min="10" max="10" width="20.140625" customWidth="1"/>
    <col min="11" max="11" width="13" customWidth="1"/>
  </cols>
  <sheetData>
    <row r="1" spans="1:24" ht="30.95" customHeight="1">
      <c r="A1" s="205" t="s">
        <v>152</v>
      </c>
      <c r="B1" s="206"/>
      <c r="C1" s="206"/>
      <c r="D1" s="206"/>
      <c r="E1" s="206"/>
      <c r="F1" s="206"/>
      <c r="G1" s="206"/>
      <c r="H1" s="206"/>
      <c r="I1" s="207"/>
      <c r="J1" s="13" t="e">
        <f>+#REF!</f>
        <v>#REF!</v>
      </c>
    </row>
    <row r="2" spans="1:24">
      <c r="A2" s="2"/>
      <c r="B2" s="2"/>
      <c r="C2" s="2"/>
      <c r="D2" s="2"/>
      <c r="E2" s="2"/>
      <c r="F2" s="2"/>
      <c r="G2" s="2"/>
      <c r="H2" s="2"/>
      <c r="I2" s="2"/>
      <c r="J2" s="2"/>
    </row>
    <row r="3" spans="1:24" ht="51">
      <c r="A3" s="3" t="s">
        <v>130</v>
      </c>
      <c r="B3" s="3" t="s">
        <v>131</v>
      </c>
      <c r="C3" s="3" t="s">
        <v>151</v>
      </c>
      <c r="D3" s="3" t="s">
        <v>132</v>
      </c>
      <c r="E3" s="3" t="s">
        <v>133</v>
      </c>
      <c r="F3" s="3" t="s">
        <v>134</v>
      </c>
      <c r="G3" s="3" t="s">
        <v>135</v>
      </c>
      <c r="H3" s="3" t="s">
        <v>136</v>
      </c>
      <c r="I3" s="3" t="s">
        <v>137</v>
      </c>
      <c r="J3" s="1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4">
      <c r="A4" s="4" t="e">
        <f>+#REF!</f>
        <v>#REF!</v>
      </c>
      <c r="B4" s="33">
        <v>0</v>
      </c>
      <c r="C4" s="27">
        <v>0</v>
      </c>
      <c r="D4" s="5">
        <v>0</v>
      </c>
      <c r="E4" s="5">
        <f t="shared" ref="E4:E34" si="0">+B4-D4-C4</f>
        <v>0</v>
      </c>
      <c r="F4" s="5">
        <f t="shared" ref="F4:H4" si="1">+E4</f>
        <v>0</v>
      </c>
      <c r="G4" s="6">
        <f t="shared" ref="G4:G34" si="2">+B4*0.245</f>
        <v>0</v>
      </c>
      <c r="H4" s="6">
        <f t="shared" si="1"/>
        <v>0</v>
      </c>
      <c r="I4" s="7">
        <v>0</v>
      </c>
      <c r="J4" s="16">
        <v>0</v>
      </c>
      <c r="K4" s="18"/>
      <c r="L4" s="18"/>
      <c r="M4" s="18"/>
      <c r="N4" s="18"/>
      <c r="O4" s="18"/>
      <c r="P4" s="18"/>
      <c r="Q4" s="18"/>
      <c r="R4" s="18">
        <v>24</v>
      </c>
      <c r="S4" s="18"/>
      <c r="T4" s="18"/>
      <c r="U4" s="18"/>
      <c r="V4" s="18"/>
      <c r="W4" s="23">
        <f t="shared" ref="W4:W34" si="3">SUM(K4:V4)</f>
        <v>24</v>
      </c>
      <c r="X4" s="24">
        <f t="shared" ref="X4:X34" si="4">24-W4</f>
        <v>0</v>
      </c>
    </row>
    <row r="5" spans="1:24">
      <c r="A5" s="4" t="e">
        <f>+#REF!</f>
        <v>#REF!</v>
      </c>
      <c r="B5" s="33">
        <v>0</v>
      </c>
      <c r="C5" s="27">
        <v>0</v>
      </c>
      <c r="D5" s="5">
        <v>0</v>
      </c>
      <c r="E5" s="5">
        <f t="shared" si="0"/>
        <v>0</v>
      </c>
      <c r="F5" s="5">
        <f t="shared" ref="F5:F34" si="5">+F4+E5</f>
        <v>0</v>
      </c>
      <c r="G5" s="6">
        <f t="shared" si="2"/>
        <v>0</v>
      </c>
      <c r="H5" s="6">
        <f t="shared" ref="H5:H34" si="6">+G5+H4</f>
        <v>0</v>
      </c>
      <c r="I5" s="7">
        <v>0</v>
      </c>
      <c r="J5" s="16">
        <f t="shared" ref="J5:J34" si="7">+J4+I5</f>
        <v>0</v>
      </c>
      <c r="K5" s="18"/>
      <c r="L5" s="18"/>
      <c r="M5" s="18"/>
      <c r="N5" s="18"/>
      <c r="O5" s="18"/>
      <c r="P5" s="18"/>
      <c r="Q5" s="18"/>
      <c r="R5" s="18">
        <v>24</v>
      </c>
      <c r="S5" s="18"/>
      <c r="T5" s="18"/>
      <c r="U5" s="18"/>
      <c r="V5" s="18"/>
      <c r="W5" s="23">
        <f t="shared" si="3"/>
        <v>24</v>
      </c>
      <c r="X5" s="24">
        <f t="shared" si="4"/>
        <v>0</v>
      </c>
    </row>
    <row r="6" spans="1:24">
      <c r="A6" s="4" t="e">
        <f>+#REF!</f>
        <v>#REF!</v>
      </c>
      <c r="B6" s="34">
        <v>0</v>
      </c>
      <c r="C6" s="27">
        <v>0</v>
      </c>
      <c r="D6" s="5">
        <v>0</v>
      </c>
      <c r="E6" s="5">
        <f t="shared" si="0"/>
        <v>0</v>
      </c>
      <c r="F6" s="5">
        <f t="shared" si="5"/>
        <v>0</v>
      </c>
      <c r="G6" s="6">
        <f t="shared" si="2"/>
        <v>0</v>
      </c>
      <c r="H6" s="6">
        <f t="shared" si="6"/>
        <v>0</v>
      </c>
      <c r="I6" s="7">
        <v>0</v>
      </c>
      <c r="J6" s="16">
        <f t="shared" si="7"/>
        <v>0</v>
      </c>
      <c r="K6" s="18"/>
      <c r="L6" s="18"/>
      <c r="M6" s="18"/>
      <c r="N6" s="18"/>
      <c r="O6" s="18"/>
      <c r="P6" s="18"/>
      <c r="Q6" s="18"/>
      <c r="R6" s="18">
        <v>24</v>
      </c>
      <c r="S6" s="18"/>
      <c r="T6" s="18"/>
      <c r="U6" s="18"/>
      <c r="V6" s="18"/>
      <c r="W6" s="23">
        <f t="shared" si="3"/>
        <v>24</v>
      </c>
      <c r="X6" s="24">
        <f t="shared" si="4"/>
        <v>0</v>
      </c>
    </row>
    <row r="7" spans="1:24">
      <c r="A7" s="4" t="e">
        <f>+#REF!</f>
        <v>#REF!</v>
      </c>
      <c r="B7" s="34">
        <v>0</v>
      </c>
      <c r="C7" s="27">
        <v>0</v>
      </c>
      <c r="D7" s="5">
        <v>0</v>
      </c>
      <c r="E7" s="5">
        <f t="shared" si="0"/>
        <v>0</v>
      </c>
      <c r="F7" s="5">
        <f t="shared" si="5"/>
        <v>0</v>
      </c>
      <c r="G7" s="6">
        <f t="shared" si="2"/>
        <v>0</v>
      </c>
      <c r="H7" s="6">
        <f t="shared" si="6"/>
        <v>0</v>
      </c>
      <c r="I7" s="7">
        <v>0</v>
      </c>
      <c r="J7" s="16">
        <f t="shared" si="7"/>
        <v>0</v>
      </c>
      <c r="K7" s="18"/>
      <c r="L7" s="18"/>
      <c r="M7" s="18"/>
      <c r="N7" s="18"/>
      <c r="O7" s="18"/>
      <c r="P7" s="18"/>
      <c r="Q7" s="18"/>
      <c r="R7" s="18">
        <v>24</v>
      </c>
      <c r="S7" s="18"/>
      <c r="T7" s="18"/>
      <c r="U7" s="18"/>
      <c r="V7" s="18"/>
      <c r="W7" s="23">
        <f t="shared" si="3"/>
        <v>24</v>
      </c>
      <c r="X7" s="24">
        <f t="shared" si="4"/>
        <v>0</v>
      </c>
    </row>
    <row r="8" spans="1:24">
      <c r="A8" s="4" t="e">
        <f>+#REF!</f>
        <v>#REF!</v>
      </c>
      <c r="B8" s="34">
        <v>0</v>
      </c>
      <c r="C8" s="27">
        <v>0</v>
      </c>
      <c r="D8" s="5">
        <v>0</v>
      </c>
      <c r="E8" s="5">
        <f t="shared" si="0"/>
        <v>0</v>
      </c>
      <c r="F8" s="5">
        <f t="shared" si="5"/>
        <v>0</v>
      </c>
      <c r="G8" s="6">
        <f t="shared" si="2"/>
        <v>0</v>
      </c>
      <c r="H8" s="6">
        <f t="shared" si="6"/>
        <v>0</v>
      </c>
      <c r="I8" s="7">
        <v>0</v>
      </c>
      <c r="J8" s="16">
        <f t="shared" si="7"/>
        <v>0</v>
      </c>
      <c r="K8" s="18"/>
      <c r="L8" s="18"/>
      <c r="M8" s="18"/>
      <c r="N8" s="18"/>
      <c r="O8" s="18"/>
      <c r="P8" s="18"/>
      <c r="Q8" s="18"/>
      <c r="R8" s="18">
        <v>24</v>
      </c>
      <c r="S8" s="18"/>
      <c r="T8" s="18"/>
      <c r="U8" s="18"/>
      <c r="V8" s="18"/>
      <c r="W8" s="23">
        <f t="shared" si="3"/>
        <v>24</v>
      </c>
      <c r="X8" s="24">
        <f t="shared" si="4"/>
        <v>0</v>
      </c>
    </row>
    <row r="9" spans="1:24">
      <c r="A9" s="4" t="e">
        <f>+#REF!</f>
        <v>#REF!</v>
      </c>
      <c r="B9" s="35">
        <v>0</v>
      </c>
      <c r="C9" s="27">
        <v>0</v>
      </c>
      <c r="D9" s="5">
        <v>0</v>
      </c>
      <c r="E9" s="5">
        <f t="shared" si="0"/>
        <v>0</v>
      </c>
      <c r="F9" s="5">
        <f t="shared" si="5"/>
        <v>0</v>
      </c>
      <c r="G9" s="6">
        <f t="shared" si="2"/>
        <v>0</v>
      </c>
      <c r="H9" s="6">
        <f t="shared" si="6"/>
        <v>0</v>
      </c>
      <c r="I9" s="7">
        <v>0</v>
      </c>
      <c r="J9" s="16">
        <f t="shared" si="7"/>
        <v>0</v>
      </c>
      <c r="K9" s="18"/>
      <c r="L9" s="18"/>
      <c r="M9" s="18"/>
      <c r="N9" s="18"/>
      <c r="O9" s="18"/>
      <c r="P9" s="18"/>
      <c r="Q9" s="18"/>
      <c r="R9" s="18">
        <v>24</v>
      </c>
      <c r="S9" s="18"/>
      <c r="T9" s="18"/>
      <c r="U9" s="18"/>
      <c r="V9" s="18"/>
      <c r="W9" s="23">
        <f t="shared" si="3"/>
        <v>24</v>
      </c>
      <c r="X9" s="24">
        <f t="shared" si="4"/>
        <v>0</v>
      </c>
    </row>
    <row r="10" spans="1:24">
      <c r="A10" s="4" t="e">
        <f>+#REF!</f>
        <v>#REF!</v>
      </c>
      <c r="B10" s="34">
        <v>0</v>
      </c>
      <c r="C10" s="27">
        <v>0</v>
      </c>
      <c r="D10" s="5">
        <v>0</v>
      </c>
      <c r="E10" s="5">
        <f t="shared" si="0"/>
        <v>0</v>
      </c>
      <c r="F10" s="5">
        <f t="shared" si="5"/>
        <v>0</v>
      </c>
      <c r="G10" s="6">
        <f t="shared" si="2"/>
        <v>0</v>
      </c>
      <c r="H10" s="6">
        <f t="shared" si="6"/>
        <v>0</v>
      </c>
      <c r="I10" s="7">
        <v>0</v>
      </c>
      <c r="J10" s="16">
        <f t="shared" si="7"/>
        <v>0</v>
      </c>
      <c r="K10" s="18"/>
      <c r="L10" s="18"/>
      <c r="M10" s="18"/>
      <c r="N10" s="18"/>
      <c r="O10" s="18"/>
      <c r="P10" s="18"/>
      <c r="Q10" s="18"/>
      <c r="R10" s="18">
        <v>24</v>
      </c>
      <c r="S10" s="18"/>
      <c r="T10" s="18"/>
      <c r="U10" s="18"/>
      <c r="V10" s="18"/>
      <c r="W10" s="23">
        <f t="shared" si="3"/>
        <v>24</v>
      </c>
      <c r="X10" s="24">
        <f t="shared" si="4"/>
        <v>0</v>
      </c>
    </row>
    <row r="11" spans="1:24">
      <c r="A11" s="4" t="e">
        <f>+#REF!</f>
        <v>#REF!</v>
      </c>
      <c r="B11" s="34">
        <v>0</v>
      </c>
      <c r="C11" s="27">
        <v>0</v>
      </c>
      <c r="D11" s="5">
        <v>0</v>
      </c>
      <c r="E11" s="5">
        <f t="shared" si="0"/>
        <v>0</v>
      </c>
      <c r="F11" s="5">
        <f t="shared" si="5"/>
        <v>0</v>
      </c>
      <c r="G11" s="6">
        <f t="shared" si="2"/>
        <v>0</v>
      </c>
      <c r="H11" s="6">
        <f t="shared" si="6"/>
        <v>0</v>
      </c>
      <c r="I11" s="7">
        <v>0</v>
      </c>
      <c r="J11" s="16">
        <f t="shared" si="7"/>
        <v>0</v>
      </c>
      <c r="K11" s="18"/>
      <c r="L11" s="18"/>
      <c r="M11" s="18"/>
      <c r="N11" s="18"/>
      <c r="O11" s="18"/>
      <c r="P11" s="18"/>
      <c r="Q11" s="18"/>
      <c r="R11" s="18">
        <v>24</v>
      </c>
      <c r="S11" s="18"/>
      <c r="T11" s="18"/>
      <c r="U11" s="18"/>
      <c r="V11" s="18"/>
      <c r="W11" s="23">
        <f t="shared" si="3"/>
        <v>24</v>
      </c>
      <c r="X11" s="24">
        <f t="shared" si="4"/>
        <v>0</v>
      </c>
    </row>
    <row r="12" spans="1:24">
      <c r="A12" s="4" t="e">
        <f>+#REF!</f>
        <v>#REF!</v>
      </c>
      <c r="B12" s="34">
        <v>0</v>
      </c>
      <c r="C12" s="27">
        <v>0</v>
      </c>
      <c r="D12" s="5">
        <v>0</v>
      </c>
      <c r="E12" s="5">
        <f t="shared" si="0"/>
        <v>0</v>
      </c>
      <c r="F12" s="5">
        <f t="shared" si="5"/>
        <v>0</v>
      </c>
      <c r="G12" s="6">
        <f t="shared" si="2"/>
        <v>0</v>
      </c>
      <c r="H12" s="6">
        <f t="shared" si="6"/>
        <v>0</v>
      </c>
      <c r="I12" s="7">
        <v>0</v>
      </c>
      <c r="J12" s="16">
        <f t="shared" si="7"/>
        <v>0</v>
      </c>
      <c r="K12" s="18"/>
      <c r="L12" s="18"/>
      <c r="M12" s="18"/>
      <c r="N12" s="18"/>
      <c r="O12" s="18"/>
      <c r="P12" s="18"/>
      <c r="Q12" s="18"/>
      <c r="R12" s="18">
        <v>24</v>
      </c>
      <c r="S12" s="18"/>
      <c r="T12" s="18"/>
      <c r="U12" s="18"/>
      <c r="V12" s="18"/>
      <c r="W12" s="23">
        <f t="shared" si="3"/>
        <v>24</v>
      </c>
      <c r="X12" s="24">
        <f t="shared" si="4"/>
        <v>0</v>
      </c>
    </row>
    <row r="13" spans="1:24">
      <c r="A13" s="4" t="e">
        <f>+#REF!</f>
        <v>#REF!</v>
      </c>
      <c r="B13" s="35">
        <v>0</v>
      </c>
      <c r="C13" s="27">
        <v>0</v>
      </c>
      <c r="D13" s="5">
        <v>0</v>
      </c>
      <c r="E13" s="5">
        <f t="shared" si="0"/>
        <v>0</v>
      </c>
      <c r="F13" s="5">
        <f t="shared" si="5"/>
        <v>0</v>
      </c>
      <c r="G13" s="6">
        <f t="shared" si="2"/>
        <v>0</v>
      </c>
      <c r="H13" s="6">
        <f t="shared" si="6"/>
        <v>0</v>
      </c>
      <c r="I13" s="7">
        <v>0</v>
      </c>
      <c r="J13" s="16">
        <f t="shared" si="7"/>
        <v>0</v>
      </c>
      <c r="K13" s="18"/>
      <c r="L13" s="18"/>
      <c r="M13" s="18"/>
      <c r="N13" s="18"/>
      <c r="O13" s="18"/>
      <c r="P13" s="18"/>
      <c r="Q13" s="18"/>
      <c r="R13" s="18">
        <v>24</v>
      </c>
      <c r="S13" s="18"/>
      <c r="T13" s="18"/>
      <c r="U13" s="18"/>
      <c r="V13" s="18"/>
      <c r="W13" s="23">
        <f t="shared" si="3"/>
        <v>24</v>
      </c>
      <c r="X13" s="24">
        <f t="shared" si="4"/>
        <v>0</v>
      </c>
    </row>
    <row r="14" spans="1:24">
      <c r="A14" s="4" t="e">
        <f>+#REF!</f>
        <v>#REF!</v>
      </c>
      <c r="B14" s="36">
        <v>0</v>
      </c>
      <c r="C14" s="27">
        <v>0</v>
      </c>
      <c r="D14" s="5">
        <v>0</v>
      </c>
      <c r="E14" s="5">
        <f t="shared" si="0"/>
        <v>0</v>
      </c>
      <c r="F14" s="5">
        <f t="shared" si="5"/>
        <v>0</v>
      </c>
      <c r="G14" s="6">
        <f t="shared" si="2"/>
        <v>0</v>
      </c>
      <c r="H14" s="6">
        <f t="shared" si="6"/>
        <v>0</v>
      </c>
      <c r="I14" s="7">
        <v>0</v>
      </c>
      <c r="J14" s="16">
        <f t="shared" si="7"/>
        <v>0</v>
      </c>
      <c r="K14" s="18"/>
      <c r="L14" s="18"/>
      <c r="M14" s="18"/>
      <c r="N14" s="18"/>
      <c r="O14" s="18"/>
      <c r="P14" s="18"/>
      <c r="Q14" s="18"/>
      <c r="R14" s="18">
        <v>24</v>
      </c>
      <c r="S14" s="18"/>
      <c r="T14" s="18"/>
      <c r="U14" s="18"/>
      <c r="V14" s="18"/>
      <c r="W14" s="23">
        <f t="shared" si="3"/>
        <v>24</v>
      </c>
      <c r="X14" s="24">
        <f t="shared" si="4"/>
        <v>0</v>
      </c>
    </row>
    <row r="15" spans="1:24">
      <c r="A15" s="4" t="e">
        <f>+#REF!</f>
        <v>#REF!</v>
      </c>
      <c r="B15" s="35">
        <v>0</v>
      </c>
      <c r="C15" s="27">
        <v>0</v>
      </c>
      <c r="D15" s="5">
        <v>0</v>
      </c>
      <c r="E15" s="5">
        <f t="shared" si="0"/>
        <v>0</v>
      </c>
      <c r="F15" s="5">
        <f t="shared" si="5"/>
        <v>0</v>
      </c>
      <c r="G15" s="6">
        <f t="shared" si="2"/>
        <v>0</v>
      </c>
      <c r="H15" s="6">
        <f t="shared" si="6"/>
        <v>0</v>
      </c>
      <c r="I15" s="7">
        <v>0</v>
      </c>
      <c r="J15" s="16">
        <f t="shared" si="7"/>
        <v>0</v>
      </c>
      <c r="K15" s="18"/>
      <c r="L15" s="18"/>
      <c r="M15" s="18"/>
      <c r="N15" s="18"/>
      <c r="O15" s="18"/>
      <c r="P15" s="18"/>
      <c r="Q15" s="18"/>
      <c r="R15" s="18">
        <v>24</v>
      </c>
      <c r="S15" s="18"/>
      <c r="T15" s="18"/>
      <c r="U15" s="18"/>
      <c r="V15" s="18"/>
      <c r="W15" s="23">
        <f t="shared" si="3"/>
        <v>24</v>
      </c>
      <c r="X15" s="24">
        <f t="shared" si="4"/>
        <v>0</v>
      </c>
    </row>
    <row r="16" spans="1:24">
      <c r="A16" s="4" t="e">
        <f>+#REF!</f>
        <v>#REF!</v>
      </c>
      <c r="B16" s="33">
        <v>0</v>
      </c>
      <c r="C16" s="27">
        <v>0</v>
      </c>
      <c r="D16" s="5">
        <v>0</v>
      </c>
      <c r="E16" s="5">
        <f t="shared" si="0"/>
        <v>0</v>
      </c>
      <c r="F16" s="5">
        <f t="shared" si="5"/>
        <v>0</v>
      </c>
      <c r="G16" s="6">
        <f t="shared" si="2"/>
        <v>0</v>
      </c>
      <c r="H16" s="6">
        <f t="shared" si="6"/>
        <v>0</v>
      </c>
      <c r="I16" s="7">
        <v>0</v>
      </c>
      <c r="J16" s="16">
        <f t="shared" si="7"/>
        <v>0</v>
      </c>
      <c r="K16" s="18"/>
      <c r="L16" s="18"/>
      <c r="M16" s="18"/>
      <c r="N16" s="18"/>
      <c r="O16" s="18"/>
      <c r="P16" s="18"/>
      <c r="Q16" s="18"/>
      <c r="R16" s="18">
        <v>24</v>
      </c>
      <c r="S16" s="18"/>
      <c r="T16" s="18"/>
      <c r="U16" s="18"/>
      <c r="V16" s="18"/>
      <c r="W16" s="23">
        <f t="shared" si="3"/>
        <v>24</v>
      </c>
      <c r="X16" s="24">
        <f t="shared" si="4"/>
        <v>0</v>
      </c>
    </row>
    <row r="17" spans="1:29">
      <c r="A17" s="4" t="e">
        <f>+#REF!</f>
        <v>#REF!</v>
      </c>
      <c r="B17" s="36">
        <v>0</v>
      </c>
      <c r="C17" s="27">
        <v>0</v>
      </c>
      <c r="D17" s="5">
        <v>0</v>
      </c>
      <c r="E17" s="5">
        <f t="shared" si="0"/>
        <v>0</v>
      </c>
      <c r="F17" s="5">
        <f t="shared" si="5"/>
        <v>0</v>
      </c>
      <c r="G17" s="6">
        <f t="shared" si="2"/>
        <v>0</v>
      </c>
      <c r="H17" s="6">
        <f t="shared" si="6"/>
        <v>0</v>
      </c>
      <c r="I17" s="7">
        <v>0</v>
      </c>
      <c r="J17" s="16">
        <f t="shared" si="7"/>
        <v>0</v>
      </c>
      <c r="K17" s="18"/>
      <c r="L17" s="18"/>
      <c r="M17" s="18"/>
      <c r="N17" s="18"/>
      <c r="O17" s="18"/>
      <c r="P17" s="18"/>
      <c r="Q17" s="18"/>
      <c r="R17" s="18">
        <v>24</v>
      </c>
      <c r="S17" s="18"/>
      <c r="T17" s="18"/>
      <c r="U17" s="18"/>
      <c r="V17" s="18"/>
      <c r="W17" s="23">
        <f t="shared" si="3"/>
        <v>24</v>
      </c>
      <c r="X17" s="24">
        <f t="shared" si="4"/>
        <v>0</v>
      </c>
    </row>
    <row r="18" spans="1:29">
      <c r="A18" s="4" t="e">
        <f>+#REF!</f>
        <v>#REF!</v>
      </c>
      <c r="B18" s="36">
        <v>0</v>
      </c>
      <c r="C18" s="27">
        <v>0</v>
      </c>
      <c r="D18" s="5">
        <v>0</v>
      </c>
      <c r="E18" s="5">
        <f t="shared" si="0"/>
        <v>0</v>
      </c>
      <c r="F18" s="5">
        <f t="shared" si="5"/>
        <v>0</v>
      </c>
      <c r="G18" s="6">
        <f t="shared" si="2"/>
        <v>0</v>
      </c>
      <c r="H18" s="6">
        <f t="shared" si="6"/>
        <v>0</v>
      </c>
      <c r="I18" s="7">
        <v>0</v>
      </c>
      <c r="J18" s="16">
        <f t="shared" si="7"/>
        <v>0</v>
      </c>
      <c r="K18" s="18"/>
      <c r="L18" s="18"/>
      <c r="M18" s="18"/>
      <c r="N18" s="18"/>
      <c r="O18" s="18"/>
      <c r="P18" s="18"/>
      <c r="Q18" s="18"/>
      <c r="R18" s="18">
        <v>24</v>
      </c>
      <c r="S18" s="18"/>
      <c r="T18" s="18"/>
      <c r="U18" s="18"/>
      <c r="V18" s="18"/>
      <c r="W18" s="23">
        <f t="shared" si="3"/>
        <v>24</v>
      </c>
      <c r="X18" s="24">
        <f t="shared" si="4"/>
        <v>0</v>
      </c>
    </row>
    <row r="19" spans="1:29">
      <c r="A19" s="4" t="e">
        <f>+#REF!</f>
        <v>#REF!</v>
      </c>
      <c r="B19" s="37">
        <v>0</v>
      </c>
      <c r="C19" s="27">
        <v>0</v>
      </c>
      <c r="D19" s="5">
        <v>0</v>
      </c>
      <c r="E19" s="5">
        <f t="shared" si="0"/>
        <v>0</v>
      </c>
      <c r="F19" s="5">
        <f t="shared" si="5"/>
        <v>0</v>
      </c>
      <c r="G19" s="6">
        <f t="shared" si="2"/>
        <v>0</v>
      </c>
      <c r="H19" s="6">
        <f t="shared" si="6"/>
        <v>0</v>
      </c>
      <c r="I19" s="7">
        <v>0</v>
      </c>
      <c r="J19" s="16">
        <f t="shared" si="7"/>
        <v>0</v>
      </c>
      <c r="K19" s="18"/>
      <c r="L19" s="18"/>
      <c r="M19" s="18"/>
      <c r="N19" s="18"/>
      <c r="O19" s="18"/>
      <c r="P19" s="18"/>
      <c r="Q19" s="18"/>
      <c r="R19" s="18">
        <v>24</v>
      </c>
      <c r="S19" s="18"/>
      <c r="T19" s="18"/>
      <c r="U19" s="18"/>
      <c r="V19" s="18"/>
      <c r="W19" s="23">
        <f t="shared" si="3"/>
        <v>24</v>
      </c>
      <c r="X19" s="24">
        <f t="shared" si="4"/>
        <v>0</v>
      </c>
    </row>
    <row r="20" spans="1:29">
      <c r="A20" s="4" t="e">
        <f>+#REF!</f>
        <v>#REF!</v>
      </c>
      <c r="B20" s="37">
        <v>0</v>
      </c>
      <c r="C20" s="27">
        <v>0</v>
      </c>
      <c r="D20" s="5">
        <v>0</v>
      </c>
      <c r="E20" s="5">
        <f t="shared" si="0"/>
        <v>0</v>
      </c>
      <c r="F20" s="5">
        <f t="shared" si="5"/>
        <v>0</v>
      </c>
      <c r="G20" s="6">
        <f t="shared" si="2"/>
        <v>0</v>
      </c>
      <c r="H20" s="6">
        <f t="shared" si="6"/>
        <v>0</v>
      </c>
      <c r="I20" s="7">
        <v>0</v>
      </c>
      <c r="J20" s="16">
        <f t="shared" si="7"/>
        <v>0</v>
      </c>
      <c r="K20" s="18"/>
      <c r="L20" s="18"/>
      <c r="M20" s="18"/>
      <c r="N20" s="18"/>
      <c r="O20" s="18"/>
      <c r="P20" s="18"/>
      <c r="Q20" s="18"/>
      <c r="R20" s="18">
        <v>24</v>
      </c>
      <c r="S20" s="18"/>
      <c r="T20" s="18"/>
      <c r="U20" s="18"/>
      <c r="V20" s="18"/>
      <c r="W20" s="23">
        <f t="shared" si="3"/>
        <v>24</v>
      </c>
      <c r="X20" s="24">
        <f t="shared" si="4"/>
        <v>0</v>
      </c>
    </row>
    <row r="21" spans="1:29">
      <c r="A21" s="4" t="e">
        <f>+#REF!</f>
        <v>#REF!</v>
      </c>
      <c r="B21" s="37">
        <v>0</v>
      </c>
      <c r="C21" s="27">
        <v>0</v>
      </c>
      <c r="D21" s="5">
        <v>0</v>
      </c>
      <c r="E21" s="5">
        <f t="shared" si="0"/>
        <v>0</v>
      </c>
      <c r="F21" s="5">
        <f t="shared" si="5"/>
        <v>0</v>
      </c>
      <c r="G21" s="6">
        <f t="shared" si="2"/>
        <v>0</v>
      </c>
      <c r="H21" s="6">
        <f t="shared" si="6"/>
        <v>0</v>
      </c>
      <c r="I21" s="7">
        <v>0</v>
      </c>
      <c r="J21" s="16">
        <f t="shared" si="7"/>
        <v>0</v>
      </c>
      <c r="K21" s="18"/>
      <c r="L21" s="18"/>
      <c r="M21" s="18"/>
      <c r="N21" s="18"/>
      <c r="O21" s="18"/>
      <c r="P21" s="18"/>
      <c r="Q21" s="18"/>
      <c r="R21" s="18">
        <v>24</v>
      </c>
      <c r="S21" s="18"/>
      <c r="T21" s="18"/>
      <c r="U21" s="18"/>
      <c r="V21" s="18"/>
      <c r="W21" s="23">
        <f t="shared" si="3"/>
        <v>24</v>
      </c>
      <c r="X21" s="24">
        <f t="shared" si="4"/>
        <v>0</v>
      </c>
    </row>
    <row r="22" spans="1:29">
      <c r="A22" s="4" t="e">
        <f>+#REF!</f>
        <v>#REF!</v>
      </c>
      <c r="B22" s="37">
        <v>0</v>
      </c>
      <c r="C22" s="27">
        <v>0</v>
      </c>
      <c r="D22" s="5">
        <v>0</v>
      </c>
      <c r="E22" s="5">
        <f t="shared" si="0"/>
        <v>0</v>
      </c>
      <c r="F22" s="5">
        <f t="shared" si="5"/>
        <v>0</v>
      </c>
      <c r="G22" s="6">
        <f t="shared" si="2"/>
        <v>0</v>
      </c>
      <c r="H22" s="6">
        <f t="shared" si="6"/>
        <v>0</v>
      </c>
      <c r="I22" s="7">
        <v>0</v>
      </c>
      <c r="J22" s="16">
        <f t="shared" si="7"/>
        <v>0</v>
      </c>
      <c r="K22" s="18"/>
      <c r="L22" s="18"/>
      <c r="M22" s="18"/>
      <c r="N22" s="18"/>
      <c r="O22" s="18"/>
      <c r="P22" s="18"/>
      <c r="Q22" s="18"/>
      <c r="R22" s="18">
        <v>24</v>
      </c>
      <c r="S22" s="18"/>
      <c r="T22" s="18"/>
      <c r="U22" s="18"/>
      <c r="V22" s="18"/>
      <c r="W22" s="23">
        <f t="shared" si="3"/>
        <v>24</v>
      </c>
      <c r="X22" s="24">
        <f t="shared" si="4"/>
        <v>0</v>
      </c>
    </row>
    <row r="23" spans="1:29">
      <c r="A23" s="4" t="e">
        <f>+#REF!</f>
        <v>#REF!</v>
      </c>
      <c r="B23" s="38">
        <v>0</v>
      </c>
      <c r="C23" s="27">
        <v>0</v>
      </c>
      <c r="D23" s="5">
        <v>0</v>
      </c>
      <c r="E23" s="5">
        <f t="shared" si="0"/>
        <v>0</v>
      </c>
      <c r="F23" s="5">
        <f t="shared" si="5"/>
        <v>0</v>
      </c>
      <c r="G23" s="6">
        <f t="shared" si="2"/>
        <v>0</v>
      </c>
      <c r="H23" s="6">
        <f t="shared" si="6"/>
        <v>0</v>
      </c>
      <c r="I23" s="7">
        <v>0</v>
      </c>
      <c r="J23" s="16">
        <f t="shared" si="7"/>
        <v>0</v>
      </c>
      <c r="K23" s="18"/>
      <c r="L23" s="18"/>
      <c r="M23" s="18"/>
      <c r="N23" s="18"/>
      <c r="O23" s="18"/>
      <c r="P23" s="18"/>
      <c r="Q23" s="18"/>
      <c r="R23" s="18">
        <v>24</v>
      </c>
      <c r="S23" s="18"/>
      <c r="T23" s="18"/>
      <c r="U23" s="18"/>
      <c r="V23" s="18"/>
      <c r="W23" s="23">
        <f t="shared" si="3"/>
        <v>24</v>
      </c>
      <c r="X23" s="24">
        <f t="shared" si="4"/>
        <v>0</v>
      </c>
    </row>
    <row r="24" spans="1:29">
      <c r="A24" s="4" t="e">
        <f>+#REF!</f>
        <v>#REF!</v>
      </c>
      <c r="B24" s="38">
        <v>0</v>
      </c>
      <c r="C24" s="27">
        <v>0</v>
      </c>
      <c r="D24" s="5">
        <v>0</v>
      </c>
      <c r="E24" s="5">
        <f t="shared" si="0"/>
        <v>0</v>
      </c>
      <c r="F24" s="5">
        <f t="shared" si="5"/>
        <v>0</v>
      </c>
      <c r="G24" s="6">
        <f t="shared" si="2"/>
        <v>0</v>
      </c>
      <c r="H24" s="6">
        <f t="shared" si="6"/>
        <v>0</v>
      </c>
      <c r="I24" s="7">
        <v>0</v>
      </c>
      <c r="J24" s="16">
        <f t="shared" si="7"/>
        <v>0</v>
      </c>
      <c r="K24" s="18"/>
      <c r="L24" s="18"/>
      <c r="M24" s="18"/>
      <c r="N24" s="18"/>
      <c r="O24" s="18"/>
      <c r="P24" s="18"/>
      <c r="Q24" s="18"/>
      <c r="R24" s="18">
        <v>24</v>
      </c>
      <c r="S24" s="18"/>
      <c r="T24" s="18"/>
      <c r="U24" s="18"/>
      <c r="V24" s="18"/>
      <c r="W24" s="23">
        <f t="shared" si="3"/>
        <v>24</v>
      </c>
      <c r="X24" s="24">
        <f t="shared" si="4"/>
        <v>0</v>
      </c>
    </row>
    <row r="25" spans="1:29">
      <c r="A25" s="4" t="e">
        <f>+#REF!</f>
        <v>#REF!</v>
      </c>
      <c r="B25" s="38">
        <v>0</v>
      </c>
      <c r="C25" s="27">
        <v>0</v>
      </c>
      <c r="D25" s="5">
        <v>0</v>
      </c>
      <c r="E25" s="5">
        <f t="shared" si="0"/>
        <v>0</v>
      </c>
      <c r="F25" s="5">
        <f t="shared" si="5"/>
        <v>0</v>
      </c>
      <c r="G25" s="6">
        <f t="shared" si="2"/>
        <v>0</v>
      </c>
      <c r="H25" s="6">
        <f t="shared" si="6"/>
        <v>0</v>
      </c>
      <c r="I25" s="7">
        <v>0</v>
      </c>
      <c r="J25" s="16">
        <f t="shared" si="7"/>
        <v>0</v>
      </c>
      <c r="K25" s="18"/>
      <c r="L25" s="18"/>
      <c r="M25" s="18"/>
      <c r="N25" s="18"/>
      <c r="O25" s="18"/>
      <c r="P25" s="18"/>
      <c r="Q25" s="18"/>
      <c r="R25" s="18">
        <v>24</v>
      </c>
      <c r="S25" s="18"/>
      <c r="T25" s="18"/>
      <c r="U25" s="18"/>
      <c r="V25" s="18"/>
      <c r="W25" s="23">
        <f t="shared" si="3"/>
        <v>24</v>
      </c>
      <c r="X25" s="24">
        <f t="shared" si="4"/>
        <v>0</v>
      </c>
    </row>
    <row r="26" spans="1:29">
      <c r="A26" s="4" t="e">
        <f>+#REF!</f>
        <v>#REF!</v>
      </c>
      <c r="B26" s="27">
        <v>0</v>
      </c>
      <c r="C26" s="27">
        <v>0</v>
      </c>
      <c r="D26" s="5">
        <v>0</v>
      </c>
      <c r="E26" s="5">
        <f t="shared" si="0"/>
        <v>0</v>
      </c>
      <c r="F26" s="5">
        <f t="shared" si="5"/>
        <v>0</v>
      </c>
      <c r="G26" s="6">
        <f t="shared" si="2"/>
        <v>0</v>
      </c>
      <c r="H26" s="6">
        <f t="shared" si="6"/>
        <v>0</v>
      </c>
      <c r="I26" s="7">
        <v>0</v>
      </c>
      <c r="J26" s="16">
        <f t="shared" si="7"/>
        <v>0</v>
      </c>
      <c r="K26" s="18"/>
      <c r="L26" s="18"/>
      <c r="M26" s="18"/>
      <c r="N26" s="18"/>
      <c r="O26" s="18"/>
      <c r="P26" s="18"/>
      <c r="Q26" s="18"/>
      <c r="R26" s="18">
        <v>24</v>
      </c>
      <c r="S26" s="18"/>
      <c r="T26" s="18"/>
      <c r="U26" s="18"/>
      <c r="V26" s="18"/>
      <c r="W26" s="23">
        <f t="shared" si="3"/>
        <v>24</v>
      </c>
      <c r="X26" s="24">
        <f t="shared" si="4"/>
        <v>0</v>
      </c>
    </row>
    <row r="27" spans="1:29" s="32" customFormat="1">
      <c r="A27" s="39" t="e">
        <f>+#REF!</f>
        <v>#REF!</v>
      </c>
      <c r="B27" s="27">
        <v>0</v>
      </c>
      <c r="C27" s="27">
        <v>0</v>
      </c>
      <c r="D27" s="29">
        <v>0</v>
      </c>
      <c r="E27" s="29">
        <f t="shared" si="0"/>
        <v>0</v>
      </c>
      <c r="F27" s="29">
        <f t="shared" si="5"/>
        <v>0</v>
      </c>
      <c r="G27" s="6">
        <f t="shared" si="2"/>
        <v>0</v>
      </c>
      <c r="H27" s="30">
        <f t="shared" si="6"/>
        <v>0</v>
      </c>
      <c r="I27" s="7">
        <v>0</v>
      </c>
      <c r="J27" s="31">
        <f t="shared" si="7"/>
        <v>0</v>
      </c>
      <c r="K27" s="18"/>
      <c r="L27" s="18"/>
      <c r="M27" s="18"/>
      <c r="N27" s="18"/>
      <c r="O27" s="18"/>
      <c r="P27" s="18"/>
      <c r="Q27" s="18"/>
      <c r="R27" s="18">
        <v>24</v>
      </c>
      <c r="S27" s="18"/>
      <c r="T27" s="18"/>
      <c r="U27" s="18"/>
      <c r="V27" s="18"/>
      <c r="W27" s="42">
        <f t="shared" si="3"/>
        <v>24</v>
      </c>
      <c r="X27" s="43">
        <f t="shared" si="4"/>
        <v>0</v>
      </c>
      <c r="AC27" s="45">
        <v>2.5</v>
      </c>
    </row>
    <row r="28" spans="1:29">
      <c r="A28" s="4" t="e">
        <f>+#REF!</f>
        <v>#REF!</v>
      </c>
      <c r="B28" s="27">
        <v>0</v>
      </c>
      <c r="C28" s="27">
        <v>0</v>
      </c>
      <c r="D28" s="5">
        <v>0</v>
      </c>
      <c r="E28" s="5">
        <f t="shared" si="0"/>
        <v>0</v>
      </c>
      <c r="F28" s="5">
        <f t="shared" si="5"/>
        <v>0</v>
      </c>
      <c r="G28" s="6">
        <f t="shared" si="2"/>
        <v>0</v>
      </c>
      <c r="H28" s="6">
        <f t="shared" si="6"/>
        <v>0</v>
      </c>
      <c r="I28" s="7">
        <v>0</v>
      </c>
      <c r="J28" s="16">
        <f t="shared" si="7"/>
        <v>0</v>
      </c>
      <c r="K28" s="18"/>
      <c r="L28" s="18"/>
      <c r="M28" s="18"/>
      <c r="N28" s="18"/>
      <c r="O28" s="18"/>
      <c r="P28" s="18"/>
      <c r="Q28" s="18"/>
      <c r="R28" s="18">
        <v>24</v>
      </c>
      <c r="S28" s="18"/>
      <c r="T28" s="18"/>
      <c r="U28" s="18"/>
      <c r="V28" s="18"/>
      <c r="W28" s="23">
        <f t="shared" si="3"/>
        <v>24</v>
      </c>
      <c r="X28" s="24">
        <f t="shared" si="4"/>
        <v>0</v>
      </c>
    </row>
    <row r="29" spans="1:29">
      <c r="A29" s="4" t="e">
        <f>+#REF!</f>
        <v>#REF!</v>
      </c>
      <c r="B29" s="27">
        <v>0</v>
      </c>
      <c r="C29" s="27">
        <v>0</v>
      </c>
      <c r="D29" s="5">
        <v>0</v>
      </c>
      <c r="E29" s="5">
        <f t="shared" si="0"/>
        <v>0</v>
      </c>
      <c r="F29" s="5">
        <f t="shared" si="5"/>
        <v>0</v>
      </c>
      <c r="G29" s="6">
        <f t="shared" si="2"/>
        <v>0</v>
      </c>
      <c r="H29" s="6">
        <f t="shared" si="6"/>
        <v>0</v>
      </c>
      <c r="I29" s="7">
        <v>0</v>
      </c>
      <c r="J29" s="16">
        <f t="shared" si="7"/>
        <v>0</v>
      </c>
      <c r="K29" s="18"/>
      <c r="L29" s="18"/>
      <c r="M29" s="18"/>
      <c r="N29" s="18"/>
      <c r="O29" s="18"/>
      <c r="P29" s="18"/>
      <c r="Q29" s="18"/>
      <c r="R29" s="18">
        <v>24</v>
      </c>
      <c r="S29" s="18"/>
      <c r="T29" s="18"/>
      <c r="U29" s="18"/>
      <c r="V29" s="18"/>
      <c r="W29" s="23">
        <f t="shared" si="3"/>
        <v>24</v>
      </c>
      <c r="X29" s="24">
        <f t="shared" si="4"/>
        <v>0</v>
      </c>
    </row>
    <row r="30" spans="1:29">
      <c r="A30" s="4" t="e">
        <f>+#REF!</f>
        <v>#REF!</v>
      </c>
      <c r="B30" s="38">
        <v>0</v>
      </c>
      <c r="C30" s="27">
        <v>0</v>
      </c>
      <c r="D30" s="5">
        <v>0</v>
      </c>
      <c r="E30" s="5">
        <f t="shared" si="0"/>
        <v>0</v>
      </c>
      <c r="F30" s="5">
        <f t="shared" si="5"/>
        <v>0</v>
      </c>
      <c r="G30" s="6">
        <f t="shared" si="2"/>
        <v>0</v>
      </c>
      <c r="H30" s="6">
        <f t="shared" si="6"/>
        <v>0</v>
      </c>
      <c r="I30" s="7">
        <v>0</v>
      </c>
      <c r="J30" s="16">
        <f t="shared" si="7"/>
        <v>0</v>
      </c>
      <c r="K30" s="18"/>
      <c r="L30" s="18"/>
      <c r="M30" s="18"/>
      <c r="N30" s="18"/>
      <c r="O30" s="18"/>
      <c r="P30" s="18"/>
      <c r="Q30" s="18"/>
      <c r="R30" s="18">
        <v>24</v>
      </c>
      <c r="S30" s="18"/>
      <c r="T30" s="18"/>
      <c r="U30" s="18"/>
      <c r="V30" s="18"/>
      <c r="W30" s="23">
        <f t="shared" si="3"/>
        <v>24</v>
      </c>
      <c r="X30" s="24">
        <f t="shared" si="4"/>
        <v>0</v>
      </c>
    </row>
    <row r="31" spans="1:29">
      <c r="A31" s="4" t="e">
        <f>+#REF!</f>
        <v>#REF!</v>
      </c>
      <c r="B31" s="27">
        <v>0</v>
      </c>
      <c r="C31" s="27">
        <v>0</v>
      </c>
      <c r="D31" s="5">
        <v>0</v>
      </c>
      <c r="E31" s="5">
        <f t="shared" si="0"/>
        <v>0</v>
      </c>
      <c r="F31" s="5">
        <f t="shared" si="5"/>
        <v>0</v>
      </c>
      <c r="G31" s="6">
        <f t="shared" si="2"/>
        <v>0</v>
      </c>
      <c r="H31" s="6">
        <f t="shared" si="6"/>
        <v>0</v>
      </c>
      <c r="I31" s="7">
        <v>0</v>
      </c>
      <c r="J31" s="16">
        <f t="shared" si="7"/>
        <v>0</v>
      </c>
      <c r="K31" s="18"/>
      <c r="L31" s="18"/>
      <c r="M31" s="18"/>
      <c r="N31" s="18"/>
      <c r="O31" s="18"/>
      <c r="P31" s="18"/>
      <c r="Q31" s="18"/>
      <c r="R31" s="18">
        <v>24</v>
      </c>
      <c r="S31" s="18"/>
      <c r="T31" s="18"/>
      <c r="U31" s="18"/>
      <c r="V31" s="18"/>
      <c r="W31" s="23">
        <f t="shared" si="3"/>
        <v>24</v>
      </c>
      <c r="X31" s="24">
        <f t="shared" si="4"/>
        <v>0</v>
      </c>
    </row>
    <row r="32" spans="1:29">
      <c r="A32" s="4" t="e">
        <f>+#REF!</f>
        <v>#REF!</v>
      </c>
      <c r="B32" s="27">
        <v>0</v>
      </c>
      <c r="C32" s="27">
        <v>0</v>
      </c>
      <c r="D32" s="5">
        <v>0</v>
      </c>
      <c r="E32" s="5">
        <f t="shared" si="0"/>
        <v>0</v>
      </c>
      <c r="F32" s="5">
        <f t="shared" si="5"/>
        <v>0</v>
      </c>
      <c r="G32" s="6">
        <f t="shared" si="2"/>
        <v>0</v>
      </c>
      <c r="H32" s="6">
        <f t="shared" si="6"/>
        <v>0</v>
      </c>
      <c r="I32" s="7">
        <v>0</v>
      </c>
      <c r="J32" s="16">
        <f t="shared" si="7"/>
        <v>0</v>
      </c>
      <c r="K32" s="18"/>
      <c r="L32" s="18"/>
      <c r="M32" s="18"/>
      <c r="N32" s="18"/>
      <c r="O32" s="18"/>
      <c r="P32" s="18"/>
      <c r="Q32" s="18"/>
      <c r="R32" s="18">
        <v>24</v>
      </c>
      <c r="S32" s="18"/>
      <c r="T32" s="18"/>
      <c r="U32" s="18"/>
      <c r="V32" s="18"/>
      <c r="W32" s="23">
        <f t="shared" si="3"/>
        <v>24</v>
      </c>
      <c r="X32" s="24">
        <f t="shared" si="4"/>
        <v>0</v>
      </c>
    </row>
    <row r="33" spans="1:24">
      <c r="A33" s="4" t="e">
        <f>+#REF!</f>
        <v>#REF!</v>
      </c>
      <c r="B33" s="27">
        <v>0</v>
      </c>
      <c r="C33" s="27">
        <v>0</v>
      </c>
      <c r="D33" s="5">
        <v>0</v>
      </c>
      <c r="E33" s="5">
        <f t="shared" si="0"/>
        <v>0</v>
      </c>
      <c r="F33" s="5">
        <f t="shared" si="5"/>
        <v>0</v>
      </c>
      <c r="G33" s="6">
        <f t="shared" si="2"/>
        <v>0</v>
      </c>
      <c r="H33" s="6">
        <f t="shared" si="6"/>
        <v>0</v>
      </c>
      <c r="I33" s="7">
        <v>0</v>
      </c>
      <c r="J33" s="16">
        <f t="shared" si="7"/>
        <v>0</v>
      </c>
      <c r="K33" s="18"/>
      <c r="L33" s="18"/>
      <c r="M33" s="18"/>
      <c r="N33" s="18"/>
      <c r="O33" s="18"/>
      <c r="P33" s="18"/>
      <c r="Q33" s="18"/>
      <c r="R33" s="18">
        <v>24</v>
      </c>
      <c r="S33" s="18"/>
      <c r="T33" s="18"/>
      <c r="U33" s="18"/>
      <c r="V33" s="18"/>
      <c r="W33" s="23">
        <f t="shared" si="3"/>
        <v>24</v>
      </c>
      <c r="X33" s="24">
        <f t="shared" si="4"/>
        <v>0</v>
      </c>
    </row>
    <row r="34" spans="1:24">
      <c r="A34" s="4" t="e">
        <f>+#REF!</f>
        <v>#REF!</v>
      </c>
      <c r="B34" s="27"/>
      <c r="C34" s="27"/>
      <c r="D34" s="5">
        <v>0</v>
      </c>
      <c r="E34" s="5">
        <f t="shared" si="0"/>
        <v>0</v>
      </c>
      <c r="F34" s="5">
        <f t="shared" si="5"/>
        <v>0</v>
      </c>
      <c r="G34" s="6">
        <f t="shared" si="2"/>
        <v>0</v>
      </c>
      <c r="H34" s="6">
        <f t="shared" si="6"/>
        <v>0</v>
      </c>
      <c r="I34" s="7">
        <v>0</v>
      </c>
      <c r="J34" s="16">
        <f t="shared" si="7"/>
        <v>0</v>
      </c>
      <c r="K34" s="18"/>
      <c r="L34" s="18"/>
      <c r="M34" s="18"/>
      <c r="N34" s="18"/>
      <c r="O34" s="18"/>
      <c r="P34" s="41"/>
      <c r="Q34" s="44"/>
      <c r="R34" s="18">
        <v>0</v>
      </c>
      <c r="S34" s="18"/>
      <c r="T34" s="18"/>
      <c r="U34" s="22"/>
      <c r="V34" s="18"/>
      <c r="W34" s="23">
        <f t="shared" si="3"/>
        <v>0</v>
      </c>
      <c r="X34" s="24">
        <f t="shared" si="4"/>
        <v>24</v>
      </c>
    </row>
    <row r="35" spans="1:24">
      <c r="A35" s="2" t="s">
        <v>150</v>
      </c>
      <c r="B35" s="2">
        <f t="shared" ref="B35:G35" si="8">SUM(B4:B34)</f>
        <v>0</v>
      </c>
      <c r="C35" s="2">
        <f t="shared" si="8"/>
        <v>0</v>
      </c>
      <c r="D35" s="2">
        <f t="shared" si="8"/>
        <v>0</v>
      </c>
      <c r="E35" s="2">
        <f t="shared" si="8"/>
        <v>0</v>
      </c>
      <c r="F35" s="2"/>
      <c r="G35" s="11">
        <f t="shared" si="8"/>
        <v>0</v>
      </c>
      <c r="H35" s="2"/>
      <c r="I35" s="12">
        <f>SUM(I4:I34)</f>
        <v>0</v>
      </c>
      <c r="J35" s="2"/>
      <c r="K35" s="19">
        <f t="shared" ref="K35:X35" si="9">SUM(K4:K34)</f>
        <v>0</v>
      </c>
      <c r="L35" s="19">
        <f t="shared" si="9"/>
        <v>0</v>
      </c>
      <c r="M35" s="19">
        <f t="shared" si="9"/>
        <v>0</v>
      </c>
      <c r="N35" s="19">
        <f t="shared" si="9"/>
        <v>0</v>
      </c>
      <c r="O35" s="19">
        <f t="shared" si="9"/>
        <v>0</v>
      </c>
      <c r="P35" s="19">
        <f t="shared" si="9"/>
        <v>0</v>
      </c>
      <c r="Q35" s="19">
        <f t="shared" si="9"/>
        <v>0</v>
      </c>
      <c r="R35" s="19">
        <f t="shared" si="9"/>
        <v>720</v>
      </c>
      <c r="S35" s="19">
        <f t="shared" si="9"/>
        <v>0</v>
      </c>
      <c r="T35" s="19">
        <f t="shared" si="9"/>
        <v>0</v>
      </c>
      <c r="U35" s="19">
        <f t="shared" si="9"/>
        <v>0</v>
      </c>
      <c r="V35" s="19">
        <f t="shared" si="9"/>
        <v>0</v>
      </c>
      <c r="W35" s="19">
        <f t="shared" si="9"/>
        <v>720</v>
      </c>
      <c r="X35">
        <f t="shared" si="9"/>
        <v>24</v>
      </c>
    </row>
    <row r="36" spans="1:24" ht="51">
      <c r="C36" t="s">
        <v>150</v>
      </c>
      <c r="D36" t="s">
        <v>153</v>
      </c>
      <c r="E36" t="s">
        <v>133</v>
      </c>
      <c r="K36" s="15" t="s">
        <v>139</v>
      </c>
      <c r="L36" s="15" t="s">
        <v>97</v>
      </c>
      <c r="M36" s="15" t="s">
        <v>140</v>
      </c>
      <c r="N36" s="15" t="s">
        <v>141</v>
      </c>
      <c r="O36" s="15" t="s">
        <v>142</v>
      </c>
      <c r="P36" s="15" t="s">
        <v>143</v>
      </c>
      <c r="Q36" s="15" t="s">
        <v>144</v>
      </c>
      <c r="R36" s="15" t="s">
        <v>145</v>
      </c>
      <c r="S36" s="15" t="s">
        <v>146</v>
      </c>
      <c r="T36" s="15" t="s">
        <v>147</v>
      </c>
      <c r="U36" s="15" t="s">
        <v>148</v>
      </c>
      <c r="V36" s="15" t="s">
        <v>149</v>
      </c>
    </row>
    <row r="37" spans="1:24">
      <c r="B37" s="28" t="s">
        <v>154</v>
      </c>
      <c r="C37" s="40"/>
      <c r="D37" s="40"/>
      <c r="E37" s="40">
        <f>+C37-D37</f>
        <v>0</v>
      </c>
    </row>
    <row r="38" spans="1:24" ht="15.75">
      <c r="K38" s="20" t="s">
        <v>96</v>
      </c>
      <c r="L38" s="21">
        <f>+K35+O35+Q35</f>
        <v>0</v>
      </c>
    </row>
    <row r="39" spans="1:24" ht="15.75">
      <c r="K39" s="20" t="s">
        <v>97</v>
      </c>
      <c r="L39" s="21">
        <f>+L35+P35</f>
        <v>0</v>
      </c>
    </row>
  </sheetData>
  <mergeCells count="1">
    <mergeCell ref="A1:I1"/>
  </mergeCells>
  <printOptions horizontalCentered="1"/>
  <pageMargins left="0.749305555555556" right="0.749305555555556" top="0.999305555555556" bottom="0.999305555555556" header="0.50902777777777797" footer="0.50902777777777797"/>
  <pageSetup paperSize="9" scale="92" orientation="landscape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topLeftCell="A10" workbookViewId="0">
      <selection activeCell="H33" sqref="H33"/>
    </sheetView>
  </sheetViews>
  <sheetFormatPr defaultColWidth="9.140625" defaultRowHeight="12.75"/>
  <cols>
    <col min="1" max="1" width="22.42578125" customWidth="1"/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2.85546875" customWidth="1"/>
    <col min="10" max="10" width="14" customWidth="1"/>
    <col min="11" max="11" width="13" customWidth="1"/>
  </cols>
  <sheetData>
    <row r="1" spans="1:23" ht="30.95" customHeight="1">
      <c r="A1" s="203"/>
      <c r="B1" s="203"/>
      <c r="C1" s="203"/>
      <c r="D1" s="203"/>
      <c r="E1" s="203"/>
      <c r="F1" s="203"/>
      <c r="G1" s="203"/>
      <c r="H1" s="203"/>
      <c r="I1" s="203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23" ht="51">
      <c r="A3" s="94" t="s">
        <v>130</v>
      </c>
      <c r="B3" s="94" t="s">
        <v>131</v>
      </c>
      <c r="C3" s="94" t="s">
        <v>151</v>
      </c>
      <c r="D3" s="94" t="s">
        <v>132</v>
      </c>
      <c r="E3" s="94" t="s">
        <v>133</v>
      </c>
      <c r="F3" s="94" t="s">
        <v>134</v>
      </c>
      <c r="G3" s="94" t="s">
        <v>135</v>
      </c>
      <c r="H3" s="94" t="s">
        <v>136</v>
      </c>
      <c r="I3" s="94" t="s">
        <v>137</v>
      </c>
      <c r="J3" s="95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3">
      <c r="A4" s="4"/>
      <c r="B4" s="25"/>
      <c r="C4" s="49"/>
      <c r="D4" s="49"/>
      <c r="E4" s="5">
        <f>+B4-D4-C4</f>
        <v>0</v>
      </c>
      <c r="F4" s="5"/>
      <c r="G4" s="46"/>
      <c r="H4" s="6">
        <f>G4</f>
        <v>0</v>
      </c>
      <c r="I4" s="7"/>
      <c r="J4" s="16"/>
      <c r="K4" s="17"/>
      <c r="L4" s="17"/>
      <c r="M4" s="17"/>
      <c r="N4" s="17"/>
      <c r="O4" s="17"/>
      <c r="P4" s="17"/>
      <c r="Q4" s="18"/>
      <c r="R4" s="17"/>
      <c r="S4" s="18"/>
      <c r="T4" s="17"/>
      <c r="U4" s="18"/>
      <c r="V4" s="17"/>
      <c r="W4" s="23">
        <f t="shared" ref="W4:W34" si="0">SUM(K4:V4)</f>
        <v>0</v>
      </c>
    </row>
    <row r="5" spans="1:23">
      <c r="A5" s="4"/>
      <c r="B5" s="25"/>
      <c r="C5" s="49"/>
      <c r="D5" s="49"/>
      <c r="E5" s="5">
        <f t="shared" ref="E5:E34" si="1">+B5-D5-C5</f>
        <v>0</v>
      </c>
      <c r="F5" s="5"/>
      <c r="G5" s="46"/>
      <c r="H5" s="6">
        <f>G5+H4</f>
        <v>0</v>
      </c>
      <c r="I5" s="7"/>
      <c r="J5" s="16"/>
      <c r="K5" s="17"/>
      <c r="L5" s="17"/>
      <c r="M5" s="17"/>
      <c r="N5" s="17"/>
      <c r="O5" s="17"/>
      <c r="P5" s="17"/>
      <c r="Q5" s="18"/>
      <c r="R5" s="17"/>
      <c r="S5" s="18"/>
      <c r="T5" s="17"/>
      <c r="U5" s="18"/>
      <c r="V5" s="17"/>
      <c r="W5" s="23">
        <f t="shared" si="0"/>
        <v>0</v>
      </c>
    </row>
    <row r="6" spans="1:23">
      <c r="A6" s="4"/>
      <c r="B6" s="25"/>
      <c r="C6" s="49"/>
      <c r="D6" s="49"/>
      <c r="E6" s="5">
        <f t="shared" si="1"/>
        <v>0</v>
      </c>
      <c r="F6" s="5"/>
      <c r="G6" s="46"/>
      <c r="H6" s="6">
        <f>G6+H5</f>
        <v>0</v>
      </c>
      <c r="I6" s="7"/>
      <c r="J6" s="16"/>
      <c r="K6" s="17"/>
      <c r="L6" s="17"/>
      <c r="M6" s="17"/>
      <c r="N6" s="17"/>
      <c r="O6" s="17"/>
      <c r="P6" s="17"/>
      <c r="Q6" s="18"/>
      <c r="R6" s="17"/>
      <c r="S6" s="18"/>
      <c r="T6" s="17"/>
      <c r="U6" s="18"/>
      <c r="V6" s="17"/>
      <c r="W6" s="23">
        <f t="shared" si="0"/>
        <v>0</v>
      </c>
    </row>
    <row r="7" spans="1:23">
      <c r="A7" s="4"/>
      <c r="B7" s="25"/>
      <c r="C7" s="49"/>
      <c r="D7" s="49"/>
      <c r="E7" s="5">
        <f t="shared" si="1"/>
        <v>0</v>
      </c>
      <c r="F7" s="5"/>
      <c r="G7" s="46"/>
      <c r="H7" s="6">
        <f t="shared" ref="H7:H34" si="2">G7+H6</f>
        <v>0</v>
      </c>
      <c r="I7" s="7"/>
      <c r="J7" s="16"/>
      <c r="K7" s="17"/>
      <c r="L7" s="17"/>
      <c r="M7" s="17"/>
      <c r="N7" s="17"/>
      <c r="O7" s="17"/>
      <c r="P7" s="17"/>
      <c r="Q7" s="18"/>
      <c r="R7" s="17"/>
      <c r="S7" s="18"/>
      <c r="T7" s="17"/>
      <c r="U7" s="18"/>
      <c r="V7" s="17"/>
      <c r="W7" s="23">
        <f t="shared" si="0"/>
        <v>0</v>
      </c>
    </row>
    <row r="8" spans="1:23">
      <c r="A8" s="4"/>
      <c r="B8" s="25"/>
      <c r="C8" s="49"/>
      <c r="D8" s="49"/>
      <c r="E8" s="5">
        <f t="shared" si="1"/>
        <v>0</v>
      </c>
      <c r="F8" s="5"/>
      <c r="G8" s="46"/>
      <c r="H8" s="6">
        <f t="shared" si="2"/>
        <v>0</v>
      </c>
      <c r="I8" s="7"/>
      <c r="J8" s="16"/>
      <c r="K8" s="17"/>
      <c r="L8" s="17"/>
      <c r="M8" s="17"/>
      <c r="N8" s="17"/>
      <c r="O8" s="17"/>
      <c r="P8" s="17"/>
      <c r="Q8" s="18"/>
      <c r="R8" s="17"/>
      <c r="S8" s="18"/>
      <c r="T8" s="17"/>
      <c r="U8" s="18"/>
      <c r="V8" s="17"/>
      <c r="W8" s="23">
        <f t="shared" si="0"/>
        <v>0</v>
      </c>
    </row>
    <row r="9" spans="1:23">
      <c r="A9" s="4"/>
      <c r="B9" s="25"/>
      <c r="C9" s="49"/>
      <c r="D9" s="49"/>
      <c r="E9" s="5">
        <f t="shared" si="1"/>
        <v>0</v>
      </c>
      <c r="F9" s="5"/>
      <c r="G9" s="46"/>
      <c r="H9" s="6">
        <f t="shared" si="2"/>
        <v>0</v>
      </c>
      <c r="I9" s="7"/>
      <c r="J9" s="16"/>
      <c r="K9" s="17"/>
      <c r="L9" s="17"/>
      <c r="M9" s="17"/>
      <c r="N9" s="17"/>
      <c r="O9" s="17"/>
      <c r="P9" s="17"/>
      <c r="Q9" s="18"/>
      <c r="R9" s="17"/>
      <c r="S9" s="18"/>
      <c r="T9" s="17"/>
      <c r="U9" s="18"/>
      <c r="V9" s="17"/>
      <c r="W9" s="23">
        <f t="shared" si="0"/>
        <v>0</v>
      </c>
    </row>
    <row r="10" spans="1:23">
      <c r="A10" s="4"/>
      <c r="B10" s="25"/>
      <c r="C10" s="49"/>
      <c r="D10" s="49"/>
      <c r="E10" s="5">
        <f t="shared" si="1"/>
        <v>0</v>
      </c>
      <c r="F10" s="5"/>
      <c r="G10" s="46"/>
      <c r="H10" s="6">
        <f t="shared" si="2"/>
        <v>0</v>
      </c>
      <c r="I10" s="7"/>
      <c r="J10" s="16"/>
      <c r="K10" s="17"/>
      <c r="L10" s="17"/>
      <c r="M10" s="17"/>
      <c r="N10" s="17"/>
      <c r="O10" s="17"/>
      <c r="P10" s="17"/>
      <c r="Q10" s="18"/>
      <c r="R10" s="17"/>
      <c r="S10" s="18"/>
      <c r="T10" s="17"/>
      <c r="U10" s="18"/>
      <c r="V10" s="17"/>
      <c r="W10" s="23">
        <f t="shared" si="0"/>
        <v>0</v>
      </c>
    </row>
    <row r="11" spans="1:23">
      <c r="A11" s="4"/>
      <c r="B11" s="26"/>
      <c r="C11" s="49"/>
      <c r="D11" s="49"/>
      <c r="E11" s="5">
        <f t="shared" si="1"/>
        <v>0</v>
      </c>
      <c r="F11" s="5"/>
      <c r="G11" s="46"/>
      <c r="H11" s="6">
        <f t="shared" si="2"/>
        <v>0</v>
      </c>
      <c r="I11" s="7"/>
      <c r="J11" s="16"/>
      <c r="K11" s="17"/>
      <c r="L11" s="17"/>
      <c r="M11" s="17"/>
      <c r="N11" s="17"/>
      <c r="O11" s="17"/>
      <c r="P11" s="17"/>
      <c r="Q11" s="18"/>
      <c r="R11" s="17"/>
      <c r="S11" s="18"/>
      <c r="T11" s="17"/>
      <c r="U11" s="18"/>
      <c r="V11" s="17"/>
      <c r="W11" s="23">
        <f t="shared" si="0"/>
        <v>0</v>
      </c>
    </row>
    <row r="12" spans="1:23">
      <c r="A12" s="4"/>
      <c r="B12" s="25"/>
      <c r="C12" s="49"/>
      <c r="D12" s="49"/>
      <c r="E12" s="5">
        <f t="shared" si="1"/>
        <v>0</v>
      </c>
      <c r="F12" s="5"/>
      <c r="G12" s="46"/>
      <c r="H12" s="6">
        <f t="shared" si="2"/>
        <v>0</v>
      </c>
      <c r="I12" s="7"/>
      <c r="J12" s="16"/>
      <c r="K12" s="17"/>
      <c r="L12" s="17"/>
      <c r="M12" s="17"/>
      <c r="N12" s="17"/>
      <c r="O12" s="17"/>
      <c r="P12" s="17"/>
      <c r="Q12" s="18"/>
      <c r="R12" s="17"/>
      <c r="S12" s="18"/>
      <c r="T12" s="17"/>
      <c r="U12" s="18"/>
      <c r="V12" s="17"/>
      <c r="W12" s="23">
        <f t="shared" si="0"/>
        <v>0</v>
      </c>
    </row>
    <row r="13" spans="1:23">
      <c r="A13" s="4"/>
      <c r="B13" s="9"/>
      <c r="C13" s="49"/>
      <c r="D13" s="49"/>
      <c r="E13" s="5">
        <f t="shared" si="1"/>
        <v>0</v>
      </c>
      <c r="F13" s="5"/>
      <c r="G13" s="46"/>
      <c r="H13" s="6">
        <f t="shared" si="2"/>
        <v>0</v>
      </c>
      <c r="I13" s="7"/>
      <c r="J13" s="16"/>
      <c r="K13" s="17"/>
      <c r="L13" s="17"/>
      <c r="M13" s="17"/>
      <c r="N13" s="17"/>
      <c r="O13" s="17"/>
      <c r="P13" s="17"/>
      <c r="Q13" s="18"/>
      <c r="R13" s="17"/>
      <c r="S13" s="18"/>
      <c r="T13" s="17"/>
      <c r="U13" s="18"/>
      <c r="V13" s="17"/>
      <c r="W13" s="23">
        <f t="shared" si="0"/>
        <v>0</v>
      </c>
    </row>
    <row r="14" spans="1:23">
      <c r="A14" s="4"/>
      <c r="B14" s="9"/>
      <c r="C14" s="49"/>
      <c r="D14" s="49"/>
      <c r="E14" s="5">
        <f t="shared" si="1"/>
        <v>0</v>
      </c>
      <c r="F14" s="5"/>
      <c r="G14" s="46"/>
      <c r="H14" s="6">
        <f t="shared" si="2"/>
        <v>0</v>
      </c>
      <c r="I14" s="7"/>
      <c r="J14" s="16"/>
      <c r="K14" s="17"/>
      <c r="L14" s="17"/>
      <c r="M14" s="17"/>
      <c r="N14" s="17"/>
      <c r="O14" s="17"/>
      <c r="P14" s="17"/>
      <c r="Q14" s="18"/>
      <c r="R14" s="17"/>
      <c r="S14" s="18"/>
      <c r="T14" s="17"/>
      <c r="U14" s="18"/>
      <c r="V14" s="17"/>
      <c r="W14" s="23">
        <f t="shared" si="0"/>
        <v>0</v>
      </c>
    </row>
    <row r="15" spans="1:23">
      <c r="A15" s="4"/>
      <c r="B15" s="10"/>
      <c r="C15" s="49"/>
      <c r="D15" s="49"/>
      <c r="E15" s="5">
        <f t="shared" si="1"/>
        <v>0</v>
      </c>
      <c r="F15" s="5"/>
      <c r="G15" s="46"/>
      <c r="H15" s="6">
        <f t="shared" si="2"/>
        <v>0</v>
      </c>
      <c r="I15" s="7"/>
      <c r="J15" s="16"/>
      <c r="K15" s="17"/>
      <c r="L15" s="17"/>
      <c r="M15" s="17"/>
      <c r="N15" s="17"/>
      <c r="O15" s="17"/>
      <c r="P15" s="17"/>
      <c r="Q15" s="18"/>
      <c r="R15" s="17"/>
      <c r="S15" s="18"/>
      <c r="T15" s="17"/>
      <c r="U15" s="18"/>
      <c r="V15" s="17"/>
      <c r="W15" s="23">
        <f t="shared" si="0"/>
        <v>0</v>
      </c>
    </row>
    <row r="16" spans="1:23">
      <c r="A16" s="4"/>
      <c r="B16" s="25"/>
      <c r="C16" s="49"/>
      <c r="D16" s="49"/>
      <c r="E16" s="5">
        <f t="shared" si="1"/>
        <v>0</v>
      </c>
      <c r="F16" s="5"/>
      <c r="G16" s="46"/>
      <c r="H16" s="6">
        <f t="shared" si="2"/>
        <v>0</v>
      </c>
      <c r="I16" s="7"/>
      <c r="J16" s="16"/>
      <c r="K16" s="17"/>
      <c r="L16" s="17"/>
      <c r="M16" s="17"/>
      <c r="N16" s="17"/>
      <c r="O16" s="17"/>
      <c r="P16" s="17"/>
      <c r="Q16" s="18"/>
      <c r="R16" s="17"/>
      <c r="S16" s="18"/>
      <c r="T16" s="17"/>
      <c r="U16" s="18"/>
      <c r="V16" s="17"/>
      <c r="W16" s="23">
        <f t="shared" si="0"/>
        <v>0</v>
      </c>
    </row>
    <row r="17" spans="1:23">
      <c r="A17" s="4"/>
      <c r="B17" s="25"/>
      <c r="C17" s="49"/>
      <c r="D17" s="49"/>
      <c r="E17" s="5">
        <f t="shared" si="1"/>
        <v>0</v>
      </c>
      <c r="F17" s="5"/>
      <c r="G17" s="46"/>
      <c r="H17" s="6">
        <f t="shared" si="2"/>
        <v>0</v>
      </c>
      <c r="I17" s="7"/>
      <c r="J17" s="16"/>
      <c r="K17" s="17"/>
      <c r="L17" s="17"/>
      <c r="M17" s="17"/>
      <c r="N17" s="17"/>
      <c r="O17" s="17"/>
      <c r="P17" s="17"/>
      <c r="Q17" s="18"/>
      <c r="R17" s="17"/>
      <c r="S17" s="18"/>
      <c r="T17" s="17"/>
      <c r="U17" s="18"/>
      <c r="V17" s="17"/>
      <c r="W17" s="23">
        <f t="shared" si="0"/>
        <v>0</v>
      </c>
    </row>
    <row r="18" spans="1:23">
      <c r="A18" s="4"/>
      <c r="B18" s="25"/>
      <c r="C18" s="49"/>
      <c r="D18" s="49"/>
      <c r="E18" s="5">
        <f t="shared" si="1"/>
        <v>0</v>
      </c>
      <c r="F18" s="5"/>
      <c r="G18" s="46"/>
      <c r="H18" s="6">
        <f t="shared" si="2"/>
        <v>0</v>
      </c>
      <c r="I18" s="7"/>
      <c r="J18" s="16"/>
      <c r="K18" s="17"/>
      <c r="L18" s="17"/>
      <c r="M18" s="17"/>
      <c r="N18" s="17"/>
      <c r="O18" s="17"/>
      <c r="P18" s="17"/>
      <c r="Q18" s="18"/>
      <c r="R18" s="17"/>
      <c r="S18" s="18"/>
      <c r="T18" s="17"/>
      <c r="U18" s="18"/>
      <c r="V18" s="17"/>
      <c r="W18" s="23">
        <f t="shared" si="0"/>
        <v>0</v>
      </c>
    </row>
    <row r="19" spans="1:23">
      <c r="A19" s="4"/>
      <c r="B19" s="25"/>
      <c r="C19" s="49"/>
      <c r="D19" s="49"/>
      <c r="E19" s="5">
        <f t="shared" si="1"/>
        <v>0</v>
      </c>
      <c r="F19" s="5"/>
      <c r="G19" s="46"/>
      <c r="H19" s="6">
        <f t="shared" si="2"/>
        <v>0</v>
      </c>
      <c r="I19" s="7"/>
      <c r="J19" s="16"/>
      <c r="K19" s="17"/>
      <c r="L19" s="17"/>
      <c r="M19" s="17"/>
      <c r="N19" s="17"/>
      <c r="O19" s="17"/>
      <c r="P19" s="17"/>
      <c r="Q19" s="18"/>
      <c r="R19" s="17"/>
      <c r="S19" s="18"/>
      <c r="T19" s="17"/>
      <c r="U19" s="18"/>
      <c r="V19" s="17"/>
      <c r="W19" s="23">
        <f t="shared" si="0"/>
        <v>0</v>
      </c>
    </row>
    <row r="20" spans="1:23">
      <c r="A20" s="4"/>
      <c r="B20" s="25"/>
      <c r="C20" s="49"/>
      <c r="D20" s="49"/>
      <c r="E20" s="5">
        <f t="shared" si="1"/>
        <v>0</v>
      </c>
      <c r="F20" s="5"/>
      <c r="G20" s="46"/>
      <c r="H20" s="6">
        <f t="shared" si="2"/>
        <v>0</v>
      </c>
      <c r="I20" s="7"/>
      <c r="J20" s="16"/>
      <c r="K20" s="17"/>
      <c r="L20" s="17"/>
      <c r="M20" s="17"/>
      <c r="N20" s="17"/>
      <c r="O20" s="17"/>
      <c r="P20" s="17"/>
      <c r="Q20" s="18"/>
      <c r="R20" s="17"/>
      <c r="S20" s="18"/>
      <c r="T20" s="17"/>
      <c r="U20" s="18"/>
      <c r="V20" s="17"/>
      <c r="W20" s="23">
        <f t="shared" si="0"/>
        <v>0</v>
      </c>
    </row>
    <row r="21" spans="1:23">
      <c r="A21" s="4"/>
      <c r="B21" s="50"/>
      <c r="C21" s="49"/>
      <c r="D21" s="49"/>
      <c r="E21" s="5">
        <f t="shared" si="1"/>
        <v>0</v>
      </c>
      <c r="F21" s="5"/>
      <c r="G21" s="47"/>
      <c r="H21" s="6">
        <f t="shared" si="2"/>
        <v>0</v>
      </c>
      <c r="I21" s="7"/>
      <c r="J21" s="16"/>
      <c r="K21" s="17"/>
      <c r="L21" s="17"/>
      <c r="M21" s="17"/>
      <c r="N21" s="17"/>
      <c r="O21" s="17"/>
      <c r="P21" s="17"/>
      <c r="Q21" s="18"/>
      <c r="R21" s="17"/>
      <c r="S21" s="18"/>
      <c r="T21" s="17"/>
      <c r="U21" s="18"/>
      <c r="V21" s="17"/>
      <c r="W21" s="23">
        <f t="shared" si="0"/>
        <v>0</v>
      </c>
    </row>
    <row r="22" spans="1:23">
      <c r="A22" s="4"/>
      <c r="B22" s="25"/>
      <c r="C22" s="49"/>
      <c r="D22" s="49"/>
      <c r="E22" s="5">
        <f t="shared" si="1"/>
        <v>0</v>
      </c>
      <c r="F22" s="5"/>
      <c r="G22" s="46"/>
      <c r="H22" s="6">
        <f t="shared" si="2"/>
        <v>0</v>
      </c>
      <c r="I22" s="7"/>
      <c r="J22" s="16"/>
      <c r="K22" s="17"/>
      <c r="L22" s="17"/>
      <c r="M22" s="17"/>
      <c r="N22" s="17"/>
      <c r="O22" s="17"/>
      <c r="P22" s="17"/>
      <c r="Q22" s="18"/>
      <c r="R22" s="17"/>
      <c r="S22" s="18"/>
      <c r="T22" s="17"/>
      <c r="U22" s="18"/>
      <c r="V22" s="17"/>
      <c r="W22" s="23">
        <f t="shared" si="0"/>
        <v>0</v>
      </c>
    </row>
    <row r="23" spans="1:23">
      <c r="A23" s="4"/>
      <c r="B23" s="25"/>
      <c r="C23" s="49"/>
      <c r="D23" s="49"/>
      <c r="E23" s="5">
        <f t="shared" si="1"/>
        <v>0</v>
      </c>
      <c r="F23" s="5"/>
      <c r="G23" s="46"/>
      <c r="H23" s="6">
        <f t="shared" si="2"/>
        <v>0</v>
      </c>
      <c r="I23" s="7"/>
      <c r="J23" s="16"/>
      <c r="K23" s="17"/>
      <c r="L23" s="17"/>
      <c r="M23" s="17"/>
      <c r="N23" s="17"/>
      <c r="O23" s="17"/>
      <c r="P23" s="17"/>
      <c r="Q23" s="18"/>
      <c r="R23" s="17"/>
      <c r="S23" s="18"/>
      <c r="T23" s="17"/>
      <c r="U23" s="18"/>
      <c r="V23" s="17"/>
      <c r="W23" s="23">
        <f t="shared" si="0"/>
        <v>0</v>
      </c>
    </row>
    <row r="24" spans="1:23">
      <c r="A24" s="4"/>
      <c r="B24" s="25"/>
      <c r="C24" s="49"/>
      <c r="D24" s="49"/>
      <c r="E24" s="5">
        <f t="shared" si="1"/>
        <v>0</v>
      </c>
      <c r="F24" s="5"/>
      <c r="G24" s="46"/>
      <c r="H24" s="6">
        <f t="shared" si="2"/>
        <v>0</v>
      </c>
      <c r="I24" s="7"/>
      <c r="J24" s="16"/>
      <c r="K24" s="17"/>
      <c r="L24" s="17"/>
      <c r="M24" s="17"/>
      <c r="N24" s="17"/>
      <c r="O24" s="17"/>
      <c r="P24" s="17"/>
      <c r="Q24" s="18"/>
      <c r="R24" s="17"/>
      <c r="S24" s="18"/>
      <c r="T24" s="17"/>
      <c r="U24" s="18"/>
      <c r="V24" s="17"/>
      <c r="W24" s="23">
        <f t="shared" si="0"/>
        <v>0</v>
      </c>
    </row>
    <row r="25" spans="1:23">
      <c r="A25" s="4"/>
      <c r="B25" s="25"/>
      <c r="C25" s="49"/>
      <c r="D25" s="49"/>
      <c r="E25" s="5">
        <f t="shared" si="1"/>
        <v>0</v>
      </c>
      <c r="F25" s="5"/>
      <c r="G25" s="46"/>
      <c r="H25" s="6">
        <f t="shared" si="2"/>
        <v>0</v>
      </c>
      <c r="I25" s="7"/>
      <c r="J25" s="16"/>
      <c r="K25" s="17"/>
      <c r="L25" s="17"/>
      <c r="M25" s="17"/>
      <c r="N25" s="17"/>
      <c r="O25" s="17"/>
      <c r="P25" s="17"/>
      <c r="Q25" s="18"/>
      <c r="R25" s="17"/>
      <c r="S25" s="18"/>
      <c r="T25" s="17"/>
      <c r="U25" s="18"/>
      <c r="V25" s="17"/>
      <c r="W25" s="23">
        <f t="shared" si="0"/>
        <v>0</v>
      </c>
    </row>
    <row r="26" spans="1:23">
      <c r="A26" s="4"/>
      <c r="B26" s="25"/>
      <c r="C26" s="49"/>
      <c r="D26" s="49"/>
      <c r="E26" s="5">
        <f t="shared" si="1"/>
        <v>0</v>
      </c>
      <c r="F26" s="5"/>
      <c r="G26" s="48"/>
      <c r="H26" s="6">
        <f t="shared" si="2"/>
        <v>0</v>
      </c>
      <c r="I26" s="7"/>
      <c r="J26" s="16"/>
      <c r="K26" s="17"/>
      <c r="L26" s="17"/>
      <c r="M26" s="17"/>
      <c r="N26" s="17"/>
      <c r="O26" s="17"/>
      <c r="P26" s="17"/>
      <c r="Q26" s="18"/>
      <c r="R26" s="17"/>
      <c r="S26" s="18"/>
      <c r="T26" s="17"/>
      <c r="U26" s="18"/>
      <c r="V26" s="17"/>
      <c r="W26" s="23">
        <f t="shared" si="0"/>
        <v>0</v>
      </c>
    </row>
    <row r="27" spans="1:23">
      <c r="A27" s="4"/>
      <c r="B27" s="25"/>
      <c r="C27" s="49"/>
      <c r="D27" s="49"/>
      <c r="E27" s="5">
        <f t="shared" si="1"/>
        <v>0</v>
      </c>
      <c r="F27" s="5"/>
      <c r="G27" s="46"/>
      <c r="H27" s="6">
        <f t="shared" si="2"/>
        <v>0</v>
      </c>
      <c r="I27" s="7"/>
      <c r="J27" s="16"/>
      <c r="K27" s="17"/>
      <c r="L27" s="17"/>
      <c r="M27" s="17"/>
      <c r="N27" s="17"/>
      <c r="O27" s="17"/>
      <c r="P27" s="17"/>
      <c r="Q27" s="18"/>
      <c r="R27" s="17"/>
      <c r="S27" s="18"/>
      <c r="T27" s="17"/>
      <c r="U27" s="18"/>
      <c r="V27" s="17"/>
      <c r="W27" s="23">
        <f t="shared" si="0"/>
        <v>0</v>
      </c>
    </row>
    <row r="28" spans="1:23">
      <c r="A28" s="4"/>
      <c r="B28" s="25"/>
      <c r="C28" s="49"/>
      <c r="D28" s="49"/>
      <c r="E28" s="5">
        <f t="shared" si="1"/>
        <v>0</v>
      </c>
      <c r="F28" s="5"/>
      <c r="G28" s="46"/>
      <c r="H28" s="6">
        <f t="shared" si="2"/>
        <v>0</v>
      </c>
      <c r="I28" s="7"/>
      <c r="J28" s="16"/>
      <c r="K28" s="17"/>
      <c r="L28" s="17"/>
      <c r="M28" s="17"/>
      <c r="N28" s="17"/>
      <c r="O28" s="17"/>
      <c r="P28" s="17"/>
      <c r="Q28" s="18"/>
      <c r="R28" s="17"/>
      <c r="S28" s="18"/>
      <c r="T28" s="17"/>
      <c r="U28" s="18"/>
      <c r="V28" s="17"/>
      <c r="W28" s="23">
        <f t="shared" si="0"/>
        <v>0</v>
      </c>
    </row>
    <row r="29" spans="1:23">
      <c r="A29" s="4"/>
      <c r="B29" s="25"/>
      <c r="C29" s="49"/>
      <c r="D29" s="49"/>
      <c r="E29" s="5">
        <f t="shared" si="1"/>
        <v>0</v>
      </c>
      <c r="F29" s="5"/>
      <c r="G29" s="46"/>
      <c r="H29" s="6">
        <f t="shared" si="2"/>
        <v>0</v>
      </c>
      <c r="I29" s="7"/>
      <c r="J29" s="16"/>
      <c r="K29" s="17"/>
      <c r="L29" s="17"/>
      <c r="M29" s="17"/>
      <c r="N29" s="17"/>
      <c r="O29" s="17"/>
      <c r="P29" s="17"/>
      <c r="Q29" s="18"/>
      <c r="R29" s="17"/>
      <c r="S29" s="18"/>
      <c r="T29" s="17"/>
      <c r="U29" s="18"/>
      <c r="V29" s="17"/>
      <c r="W29" s="23">
        <f t="shared" si="0"/>
        <v>0</v>
      </c>
    </row>
    <row r="30" spans="1:23">
      <c r="A30" s="4"/>
      <c r="B30" s="25"/>
      <c r="C30" s="49"/>
      <c r="D30" s="49"/>
      <c r="E30" s="5">
        <f t="shared" si="1"/>
        <v>0</v>
      </c>
      <c r="F30" s="5"/>
      <c r="G30" s="46"/>
      <c r="H30" s="6">
        <f t="shared" si="2"/>
        <v>0</v>
      </c>
      <c r="I30" s="7"/>
      <c r="J30" s="16"/>
      <c r="K30" s="17"/>
      <c r="L30" s="17"/>
      <c r="M30" s="17"/>
      <c r="N30" s="17"/>
      <c r="O30" s="17"/>
      <c r="P30" s="17"/>
      <c r="Q30" s="18"/>
      <c r="R30" s="17"/>
      <c r="S30" s="18"/>
      <c r="T30" s="17"/>
      <c r="U30" s="18"/>
      <c r="V30" s="17"/>
      <c r="W30" s="23">
        <f t="shared" si="0"/>
        <v>0</v>
      </c>
    </row>
    <row r="31" spans="1:23">
      <c r="A31" s="4"/>
      <c r="B31" s="25"/>
      <c r="C31" s="49"/>
      <c r="D31" s="49"/>
      <c r="E31" s="5">
        <f t="shared" si="1"/>
        <v>0</v>
      </c>
      <c r="F31" s="5"/>
      <c r="G31" s="46"/>
      <c r="H31" s="6">
        <f>G31+H30</f>
        <v>0</v>
      </c>
      <c r="I31" s="7"/>
      <c r="J31" s="16"/>
      <c r="K31" s="17"/>
      <c r="L31" s="17"/>
      <c r="M31" s="17"/>
      <c r="N31" s="17"/>
      <c r="O31" s="17"/>
      <c r="P31" s="17"/>
      <c r="Q31" s="18"/>
      <c r="R31" s="17"/>
      <c r="S31" s="18"/>
      <c r="T31" s="17"/>
      <c r="U31" s="18"/>
      <c r="V31" s="17"/>
      <c r="W31" s="23">
        <f t="shared" si="0"/>
        <v>0</v>
      </c>
    </row>
    <row r="32" spans="1:23">
      <c r="A32" s="4"/>
      <c r="B32" s="25"/>
      <c r="C32" s="49"/>
      <c r="D32" s="49"/>
      <c r="E32" s="5">
        <f t="shared" si="1"/>
        <v>0</v>
      </c>
      <c r="F32" s="5"/>
      <c r="G32" s="46"/>
      <c r="H32" s="6">
        <f t="shared" si="2"/>
        <v>0</v>
      </c>
      <c r="I32" s="7"/>
      <c r="J32" s="16"/>
      <c r="K32" s="17"/>
      <c r="L32" s="17"/>
      <c r="M32" s="17"/>
      <c r="N32" s="17"/>
      <c r="O32" s="17"/>
      <c r="P32" s="17"/>
      <c r="Q32" s="18"/>
      <c r="R32" s="17"/>
      <c r="S32" s="18"/>
      <c r="T32" s="17"/>
      <c r="U32" s="18"/>
      <c r="V32" s="17"/>
      <c r="W32" s="23">
        <f t="shared" si="0"/>
        <v>0</v>
      </c>
    </row>
    <row r="33" spans="1:23">
      <c r="A33" s="4"/>
      <c r="B33" s="8"/>
      <c r="C33" s="49"/>
      <c r="D33" s="49"/>
      <c r="E33" s="5">
        <f t="shared" si="1"/>
        <v>0</v>
      </c>
      <c r="F33" s="5"/>
      <c r="G33" s="46"/>
      <c r="H33" s="6">
        <f t="shared" si="2"/>
        <v>0</v>
      </c>
      <c r="I33" s="7"/>
      <c r="J33" s="16"/>
      <c r="K33" s="17"/>
      <c r="L33" s="17"/>
      <c r="M33" s="17"/>
      <c r="N33" s="17"/>
      <c r="O33" s="17"/>
      <c r="P33" s="17"/>
      <c r="Q33" s="18"/>
      <c r="R33" s="17"/>
      <c r="S33" s="18"/>
      <c r="T33" s="17"/>
      <c r="U33" s="18"/>
      <c r="V33" s="17"/>
      <c r="W33" s="23">
        <f t="shared" si="0"/>
        <v>0</v>
      </c>
    </row>
    <row r="34" spans="1:23">
      <c r="A34" s="4"/>
      <c r="B34" s="92"/>
      <c r="C34" s="49"/>
      <c r="D34" s="49"/>
      <c r="E34" s="5">
        <f t="shared" si="1"/>
        <v>0</v>
      </c>
      <c r="F34" s="5"/>
      <c r="G34" s="46"/>
      <c r="H34" s="6">
        <f t="shared" si="2"/>
        <v>0</v>
      </c>
      <c r="I34" s="7"/>
      <c r="J34" s="16"/>
      <c r="K34" s="17"/>
      <c r="L34" s="17"/>
      <c r="M34" s="17"/>
      <c r="N34" s="17"/>
      <c r="O34" s="17"/>
      <c r="P34" s="17"/>
      <c r="Q34" s="18"/>
      <c r="R34" s="17"/>
      <c r="S34" s="18"/>
      <c r="T34" s="17"/>
      <c r="U34" s="18"/>
      <c r="V34" s="17"/>
      <c r="W34" s="23">
        <f t="shared" si="0"/>
        <v>0</v>
      </c>
    </row>
    <row r="35" spans="1:23">
      <c r="A35" s="91" t="s">
        <v>150</v>
      </c>
      <c r="B35" s="93">
        <f>SUM(B4:B34)</f>
        <v>0</v>
      </c>
      <c r="C35" s="93">
        <f t="shared" ref="C35:G35" si="3">SUM(C4:C34)</f>
        <v>0</v>
      </c>
      <c r="D35" s="93">
        <f t="shared" si="3"/>
        <v>0</v>
      </c>
      <c r="E35" s="93">
        <f t="shared" si="3"/>
        <v>0</v>
      </c>
      <c r="F35" s="93">
        <f>F34</f>
        <v>0</v>
      </c>
      <c r="G35" s="93">
        <f t="shared" si="3"/>
        <v>0</v>
      </c>
      <c r="H35" s="97">
        <f>H34</f>
        <v>0</v>
      </c>
      <c r="I35" s="12">
        <f>SUM(I4:I34)</f>
        <v>0</v>
      </c>
      <c r="J35" s="12">
        <f>J34</f>
        <v>0</v>
      </c>
      <c r="K35" s="19">
        <f t="shared" ref="K35:W35" si="4">SUM(K4:K34)</f>
        <v>0</v>
      </c>
      <c r="L35" s="19">
        <f t="shared" si="4"/>
        <v>0</v>
      </c>
      <c r="M35" s="19">
        <f t="shared" si="4"/>
        <v>0</v>
      </c>
      <c r="N35" s="19">
        <f t="shared" si="4"/>
        <v>0</v>
      </c>
      <c r="O35" s="19">
        <f t="shared" si="4"/>
        <v>0</v>
      </c>
      <c r="P35" s="19">
        <f t="shared" si="4"/>
        <v>0</v>
      </c>
      <c r="Q35" s="19">
        <f t="shared" si="4"/>
        <v>0</v>
      </c>
      <c r="R35" s="19">
        <f t="shared" si="4"/>
        <v>0</v>
      </c>
      <c r="S35" s="19">
        <f t="shared" si="4"/>
        <v>0</v>
      </c>
      <c r="T35" s="19">
        <f t="shared" si="4"/>
        <v>0</v>
      </c>
      <c r="U35" s="19">
        <f t="shared" si="4"/>
        <v>0</v>
      </c>
      <c r="V35" s="19">
        <f t="shared" si="4"/>
        <v>0</v>
      </c>
      <c r="W35" s="19">
        <f t="shared" si="4"/>
        <v>0</v>
      </c>
    </row>
  </sheetData>
  <mergeCells count="2">
    <mergeCell ref="A1:I1"/>
    <mergeCell ref="J1:W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E7" sqref="E7"/>
    </sheetView>
  </sheetViews>
  <sheetFormatPr defaultColWidth="9.140625" defaultRowHeight="12.75"/>
  <cols>
    <col min="1" max="1" width="22.42578125" customWidth="1"/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2.85546875" customWidth="1"/>
    <col min="10" max="10" width="14" customWidth="1"/>
    <col min="11" max="11" width="13" customWidth="1"/>
  </cols>
  <sheetData>
    <row r="1" spans="1:23" ht="30.95" customHeight="1">
      <c r="A1" s="203"/>
      <c r="B1" s="203"/>
      <c r="C1" s="203"/>
      <c r="D1" s="203"/>
      <c r="E1" s="203"/>
      <c r="F1" s="203"/>
      <c r="G1" s="203"/>
      <c r="H1" s="203"/>
      <c r="I1" s="203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23" ht="51">
      <c r="A3" s="94" t="s">
        <v>130</v>
      </c>
      <c r="B3" s="94" t="s">
        <v>131</v>
      </c>
      <c r="C3" s="94" t="s">
        <v>151</v>
      </c>
      <c r="D3" s="94" t="s">
        <v>132</v>
      </c>
      <c r="E3" s="94" t="s">
        <v>133</v>
      </c>
      <c r="F3" s="94" t="s">
        <v>134</v>
      </c>
      <c r="G3" s="94" t="s">
        <v>135</v>
      </c>
      <c r="H3" s="94" t="s">
        <v>136</v>
      </c>
      <c r="I3" s="94" t="s">
        <v>137</v>
      </c>
      <c r="J3" s="95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3">
      <c r="A4" s="4"/>
      <c r="B4" s="25"/>
      <c r="C4" s="49"/>
      <c r="D4" s="49"/>
      <c r="E4" s="5">
        <f>+B4-D4-C4</f>
        <v>0</v>
      </c>
      <c r="F4" s="5"/>
      <c r="G4" s="46"/>
      <c r="H4" s="6">
        <f>G4</f>
        <v>0</v>
      </c>
      <c r="I4" s="7"/>
      <c r="J4" s="16"/>
      <c r="K4" s="17"/>
      <c r="L4" s="17"/>
      <c r="M4" s="17"/>
      <c r="N4" s="17"/>
      <c r="O4" s="17"/>
      <c r="P4" s="17"/>
      <c r="Q4" s="18"/>
      <c r="R4" s="17"/>
      <c r="S4" s="18"/>
      <c r="T4" s="17"/>
      <c r="U4" s="18"/>
      <c r="V4" s="17"/>
      <c r="W4" s="23">
        <f t="shared" ref="W4:W34" si="0">SUM(K4:V4)</f>
        <v>0</v>
      </c>
    </row>
    <row r="5" spans="1:23">
      <c r="A5" s="4"/>
      <c r="B5" s="25"/>
      <c r="C5" s="49"/>
      <c r="D5" s="49"/>
      <c r="E5" s="5">
        <f t="shared" ref="E5:E34" si="1">+B5-D5-C5</f>
        <v>0</v>
      </c>
      <c r="F5" s="5"/>
      <c r="G5" s="46"/>
      <c r="H5" s="6">
        <f>G5+H4</f>
        <v>0</v>
      </c>
      <c r="I5" s="7"/>
      <c r="J5" s="16"/>
      <c r="K5" s="17"/>
      <c r="L5" s="17"/>
      <c r="M5" s="17"/>
      <c r="N5" s="17"/>
      <c r="O5" s="17"/>
      <c r="P5" s="17"/>
      <c r="Q5" s="18"/>
      <c r="R5" s="17"/>
      <c r="S5" s="18"/>
      <c r="T5" s="17"/>
      <c r="U5" s="18"/>
      <c r="V5" s="17"/>
      <c r="W5" s="23">
        <f t="shared" si="0"/>
        <v>0</v>
      </c>
    </row>
    <row r="6" spans="1:23">
      <c r="A6" s="4"/>
      <c r="B6" s="25"/>
      <c r="C6" s="49"/>
      <c r="D6" s="49"/>
      <c r="E6" s="5">
        <f t="shared" si="1"/>
        <v>0</v>
      </c>
      <c r="F6" s="5"/>
      <c r="G6" s="46"/>
      <c r="H6" s="6">
        <f>G6+H5</f>
        <v>0</v>
      </c>
      <c r="I6" s="7"/>
      <c r="J6" s="16"/>
      <c r="K6" s="17"/>
      <c r="L6" s="17"/>
      <c r="M6" s="17"/>
      <c r="N6" s="17"/>
      <c r="O6" s="17"/>
      <c r="P6" s="17"/>
      <c r="Q6" s="18"/>
      <c r="R6" s="17"/>
      <c r="S6" s="18"/>
      <c r="T6" s="17"/>
      <c r="U6" s="18"/>
      <c r="V6" s="17"/>
      <c r="W6" s="23">
        <f t="shared" si="0"/>
        <v>0</v>
      </c>
    </row>
    <row r="7" spans="1:23">
      <c r="A7" s="4"/>
      <c r="B7" s="25"/>
      <c r="C7" s="49"/>
      <c r="D7" s="49"/>
      <c r="E7" s="5">
        <f t="shared" si="1"/>
        <v>0</v>
      </c>
      <c r="F7" s="5"/>
      <c r="G7" s="46"/>
      <c r="H7" s="6">
        <f t="shared" ref="H7:H34" si="2">G7+H6</f>
        <v>0</v>
      </c>
      <c r="I7" s="7"/>
      <c r="J7" s="16"/>
      <c r="K7" s="17"/>
      <c r="L7" s="17"/>
      <c r="M7" s="17"/>
      <c r="N7" s="17"/>
      <c r="O7" s="17"/>
      <c r="P7" s="17"/>
      <c r="Q7" s="18"/>
      <c r="R7" s="17"/>
      <c r="S7" s="18"/>
      <c r="T7" s="17"/>
      <c r="U7" s="18"/>
      <c r="V7" s="17"/>
      <c r="W7" s="23">
        <f t="shared" si="0"/>
        <v>0</v>
      </c>
    </row>
    <row r="8" spans="1:23">
      <c r="A8" s="4"/>
      <c r="B8" s="25"/>
      <c r="C8" s="49"/>
      <c r="D8" s="49"/>
      <c r="E8" s="5">
        <f t="shared" si="1"/>
        <v>0</v>
      </c>
      <c r="F8" s="5"/>
      <c r="G8" s="46"/>
      <c r="H8" s="6">
        <f t="shared" si="2"/>
        <v>0</v>
      </c>
      <c r="I8" s="7"/>
      <c r="J8" s="16"/>
      <c r="K8" s="17"/>
      <c r="L8" s="17"/>
      <c r="M8" s="17"/>
      <c r="N8" s="17"/>
      <c r="O8" s="17"/>
      <c r="P8" s="17"/>
      <c r="Q8" s="18"/>
      <c r="R8" s="17"/>
      <c r="S8" s="18"/>
      <c r="T8" s="17"/>
      <c r="U8" s="18"/>
      <c r="V8" s="17"/>
      <c r="W8" s="23">
        <f t="shared" si="0"/>
        <v>0</v>
      </c>
    </row>
    <row r="9" spans="1:23">
      <c r="A9" s="4"/>
      <c r="B9" s="25"/>
      <c r="C9" s="49"/>
      <c r="D9" s="49"/>
      <c r="E9" s="5">
        <f t="shared" si="1"/>
        <v>0</v>
      </c>
      <c r="F9" s="5"/>
      <c r="G9" s="46"/>
      <c r="H9" s="6">
        <f t="shared" si="2"/>
        <v>0</v>
      </c>
      <c r="I9" s="7"/>
      <c r="J9" s="16"/>
      <c r="K9" s="17"/>
      <c r="L9" s="17"/>
      <c r="M9" s="17"/>
      <c r="N9" s="17"/>
      <c r="O9" s="17"/>
      <c r="P9" s="17"/>
      <c r="Q9" s="18"/>
      <c r="R9" s="17"/>
      <c r="S9" s="18"/>
      <c r="T9" s="17"/>
      <c r="U9" s="18"/>
      <c r="V9" s="17"/>
      <c r="W9" s="23">
        <f t="shared" si="0"/>
        <v>0</v>
      </c>
    </row>
    <row r="10" spans="1:23">
      <c r="A10" s="4"/>
      <c r="B10" s="25"/>
      <c r="C10" s="49"/>
      <c r="D10" s="49"/>
      <c r="E10" s="5">
        <f t="shared" si="1"/>
        <v>0</v>
      </c>
      <c r="F10" s="5"/>
      <c r="G10" s="46"/>
      <c r="H10" s="6">
        <f t="shared" si="2"/>
        <v>0</v>
      </c>
      <c r="I10" s="7"/>
      <c r="J10" s="16"/>
      <c r="K10" s="17"/>
      <c r="L10" s="17"/>
      <c r="M10" s="17"/>
      <c r="N10" s="17"/>
      <c r="O10" s="17"/>
      <c r="P10" s="17"/>
      <c r="Q10" s="18"/>
      <c r="R10" s="17"/>
      <c r="S10" s="18"/>
      <c r="T10" s="17"/>
      <c r="U10" s="18"/>
      <c r="V10" s="17"/>
      <c r="W10" s="23">
        <f t="shared" si="0"/>
        <v>0</v>
      </c>
    </row>
    <row r="11" spans="1:23">
      <c r="A11" s="4"/>
      <c r="B11" s="26"/>
      <c r="C11" s="49"/>
      <c r="D11" s="49"/>
      <c r="E11" s="5">
        <f t="shared" si="1"/>
        <v>0</v>
      </c>
      <c r="F11" s="5"/>
      <c r="G11" s="46"/>
      <c r="H11" s="6">
        <f t="shared" si="2"/>
        <v>0</v>
      </c>
      <c r="I11" s="7"/>
      <c r="J11" s="16"/>
      <c r="K11" s="17"/>
      <c r="L11" s="17"/>
      <c r="M11" s="17"/>
      <c r="N11" s="17"/>
      <c r="O11" s="17"/>
      <c r="P11" s="17"/>
      <c r="Q11" s="18"/>
      <c r="R11" s="17"/>
      <c r="S11" s="18"/>
      <c r="T11" s="17"/>
      <c r="U11" s="18"/>
      <c r="V11" s="17"/>
      <c r="W11" s="23">
        <f t="shared" si="0"/>
        <v>0</v>
      </c>
    </row>
    <row r="12" spans="1:23">
      <c r="A12" s="4"/>
      <c r="B12" s="25"/>
      <c r="C12" s="49"/>
      <c r="D12" s="49"/>
      <c r="E12" s="5">
        <f t="shared" si="1"/>
        <v>0</v>
      </c>
      <c r="F12" s="5"/>
      <c r="G12" s="46"/>
      <c r="H12" s="6">
        <f t="shared" si="2"/>
        <v>0</v>
      </c>
      <c r="I12" s="7"/>
      <c r="J12" s="16"/>
      <c r="K12" s="17"/>
      <c r="L12" s="17"/>
      <c r="M12" s="17"/>
      <c r="N12" s="17"/>
      <c r="O12" s="17"/>
      <c r="P12" s="17"/>
      <c r="Q12" s="18"/>
      <c r="R12" s="17"/>
      <c r="S12" s="18"/>
      <c r="T12" s="17"/>
      <c r="U12" s="18"/>
      <c r="V12" s="17"/>
      <c r="W12" s="23">
        <f t="shared" si="0"/>
        <v>0</v>
      </c>
    </row>
    <row r="13" spans="1:23">
      <c r="A13" s="4"/>
      <c r="B13" s="9"/>
      <c r="C13" s="49"/>
      <c r="D13" s="49"/>
      <c r="E13" s="5">
        <f t="shared" si="1"/>
        <v>0</v>
      </c>
      <c r="F13" s="5"/>
      <c r="G13" s="46"/>
      <c r="H13" s="6">
        <f t="shared" si="2"/>
        <v>0</v>
      </c>
      <c r="I13" s="7"/>
      <c r="J13" s="16"/>
      <c r="K13" s="17"/>
      <c r="L13" s="17"/>
      <c r="M13" s="17"/>
      <c r="N13" s="17"/>
      <c r="O13" s="17"/>
      <c r="P13" s="17"/>
      <c r="Q13" s="18"/>
      <c r="R13" s="17"/>
      <c r="S13" s="18"/>
      <c r="T13" s="17"/>
      <c r="U13" s="18"/>
      <c r="V13" s="17"/>
      <c r="W13" s="23">
        <f t="shared" si="0"/>
        <v>0</v>
      </c>
    </row>
    <row r="14" spans="1:23">
      <c r="A14" s="4"/>
      <c r="B14" s="9"/>
      <c r="C14" s="49"/>
      <c r="D14" s="49"/>
      <c r="E14" s="5">
        <f t="shared" si="1"/>
        <v>0</v>
      </c>
      <c r="F14" s="5"/>
      <c r="G14" s="46"/>
      <c r="H14" s="6">
        <f t="shared" si="2"/>
        <v>0</v>
      </c>
      <c r="I14" s="7"/>
      <c r="J14" s="16"/>
      <c r="K14" s="17"/>
      <c r="L14" s="17"/>
      <c r="M14" s="17"/>
      <c r="N14" s="17"/>
      <c r="O14" s="17"/>
      <c r="P14" s="17"/>
      <c r="Q14" s="18"/>
      <c r="R14" s="17"/>
      <c r="S14" s="18"/>
      <c r="T14" s="17"/>
      <c r="U14" s="18"/>
      <c r="V14" s="17"/>
      <c r="W14" s="23">
        <f t="shared" si="0"/>
        <v>0</v>
      </c>
    </row>
    <row r="15" spans="1:23">
      <c r="A15" s="4"/>
      <c r="B15" s="10"/>
      <c r="C15" s="49"/>
      <c r="D15" s="49"/>
      <c r="E15" s="5">
        <f t="shared" si="1"/>
        <v>0</v>
      </c>
      <c r="F15" s="5"/>
      <c r="G15" s="46"/>
      <c r="H15" s="6">
        <f t="shared" si="2"/>
        <v>0</v>
      </c>
      <c r="I15" s="7"/>
      <c r="J15" s="16"/>
      <c r="K15" s="17"/>
      <c r="L15" s="17"/>
      <c r="M15" s="17"/>
      <c r="N15" s="17"/>
      <c r="O15" s="17"/>
      <c r="P15" s="17"/>
      <c r="Q15" s="18"/>
      <c r="R15" s="17"/>
      <c r="S15" s="18"/>
      <c r="T15" s="17"/>
      <c r="U15" s="18"/>
      <c r="V15" s="17"/>
      <c r="W15" s="23">
        <f t="shared" si="0"/>
        <v>0</v>
      </c>
    </row>
    <row r="16" spans="1:23">
      <c r="A16" s="4"/>
      <c r="B16" s="25"/>
      <c r="C16" s="49"/>
      <c r="D16" s="49"/>
      <c r="E16" s="5">
        <f t="shared" si="1"/>
        <v>0</v>
      </c>
      <c r="F16" s="5"/>
      <c r="G16" s="46"/>
      <c r="H16" s="6">
        <f t="shared" si="2"/>
        <v>0</v>
      </c>
      <c r="I16" s="7"/>
      <c r="J16" s="16"/>
      <c r="K16" s="17"/>
      <c r="L16" s="17"/>
      <c r="M16" s="17"/>
      <c r="N16" s="17"/>
      <c r="O16" s="17"/>
      <c r="P16" s="17"/>
      <c r="Q16" s="18"/>
      <c r="R16" s="17"/>
      <c r="S16" s="18"/>
      <c r="T16" s="17"/>
      <c r="U16" s="18"/>
      <c r="V16" s="17"/>
      <c r="W16" s="23">
        <f t="shared" si="0"/>
        <v>0</v>
      </c>
    </row>
    <row r="17" spans="1:23">
      <c r="A17" s="4"/>
      <c r="B17" s="25"/>
      <c r="C17" s="49"/>
      <c r="D17" s="49"/>
      <c r="E17" s="5">
        <f t="shared" si="1"/>
        <v>0</v>
      </c>
      <c r="F17" s="5"/>
      <c r="G17" s="46"/>
      <c r="H17" s="6">
        <f t="shared" si="2"/>
        <v>0</v>
      </c>
      <c r="I17" s="7"/>
      <c r="J17" s="16"/>
      <c r="K17" s="17"/>
      <c r="L17" s="17"/>
      <c r="M17" s="17"/>
      <c r="N17" s="17"/>
      <c r="O17" s="17"/>
      <c r="P17" s="17"/>
      <c r="Q17" s="18"/>
      <c r="R17" s="17"/>
      <c r="S17" s="18"/>
      <c r="T17" s="17"/>
      <c r="U17" s="18"/>
      <c r="V17" s="17"/>
      <c r="W17" s="23">
        <f t="shared" si="0"/>
        <v>0</v>
      </c>
    </row>
    <row r="18" spans="1:23">
      <c r="A18" s="4"/>
      <c r="B18" s="25"/>
      <c r="C18" s="49"/>
      <c r="D18" s="49"/>
      <c r="E18" s="5">
        <f t="shared" si="1"/>
        <v>0</v>
      </c>
      <c r="F18" s="5"/>
      <c r="G18" s="46"/>
      <c r="H18" s="6">
        <f t="shared" si="2"/>
        <v>0</v>
      </c>
      <c r="I18" s="7"/>
      <c r="J18" s="16"/>
      <c r="K18" s="17"/>
      <c r="L18" s="17"/>
      <c r="M18" s="17"/>
      <c r="N18" s="17"/>
      <c r="O18" s="17"/>
      <c r="P18" s="17"/>
      <c r="Q18" s="18"/>
      <c r="R18" s="17"/>
      <c r="S18" s="18"/>
      <c r="T18" s="17"/>
      <c r="U18" s="18"/>
      <c r="V18" s="17"/>
      <c r="W18" s="23">
        <f t="shared" si="0"/>
        <v>0</v>
      </c>
    </row>
    <row r="19" spans="1:23">
      <c r="A19" s="4"/>
      <c r="B19" s="25"/>
      <c r="C19" s="49"/>
      <c r="D19" s="49"/>
      <c r="E19" s="5">
        <f t="shared" si="1"/>
        <v>0</v>
      </c>
      <c r="F19" s="5"/>
      <c r="G19" s="46"/>
      <c r="H19" s="6">
        <f t="shared" si="2"/>
        <v>0</v>
      </c>
      <c r="I19" s="7"/>
      <c r="J19" s="16"/>
      <c r="K19" s="17"/>
      <c r="L19" s="17"/>
      <c r="M19" s="17"/>
      <c r="N19" s="17"/>
      <c r="O19" s="17"/>
      <c r="P19" s="17"/>
      <c r="Q19" s="18"/>
      <c r="R19" s="17"/>
      <c r="S19" s="18"/>
      <c r="T19" s="17"/>
      <c r="U19" s="18"/>
      <c r="V19" s="17"/>
      <c r="W19" s="23">
        <f t="shared" si="0"/>
        <v>0</v>
      </c>
    </row>
    <row r="20" spans="1:23">
      <c r="A20" s="4"/>
      <c r="B20" s="25"/>
      <c r="C20" s="49"/>
      <c r="D20" s="49"/>
      <c r="E20" s="5">
        <f t="shared" si="1"/>
        <v>0</v>
      </c>
      <c r="F20" s="5"/>
      <c r="G20" s="46"/>
      <c r="H20" s="6">
        <f t="shared" si="2"/>
        <v>0</v>
      </c>
      <c r="I20" s="7"/>
      <c r="J20" s="16"/>
      <c r="K20" s="17"/>
      <c r="L20" s="17"/>
      <c r="M20" s="17"/>
      <c r="N20" s="17"/>
      <c r="O20" s="17"/>
      <c r="P20" s="17"/>
      <c r="Q20" s="18"/>
      <c r="R20" s="17"/>
      <c r="S20" s="18"/>
      <c r="T20" s="17"/>
      <c r="U20" s="18"/>
      <c r="V20" s="17"/>
      <c r="W20" s="23">
        <f t="shared" si="0"/>
        <v>0</v>
      </c>
    </row>
    <row r="21" spans="1:23">
      <c r="A21" s="4"/>
      <c r="B21" s="50"/>
      <c r="C21" s="49"/>
      <c r="D21" s="49"/>
      <c r="E21" s="5">
        <f t="shared" si="1"/>
        <v>0</v>
      </c>
      <c r="F21" s="5"/>
      <c r="G21" s="47"/>
      <c r="H21" s="6">
        <f t="shared" si="2"/>
        <v>0</v>
      </c>
      <c r="I21" s="7"/>
      <c r="J21" s="16"/>
      <c r="K21" s="17"/>
      <c r="L21" s="17"/>
      <c r="M21" s="17"/>
      <c r="N21" s="17"/>
      <c r="O21" s="17"/>
      <c r="P21" s="17"/>
      <c r="Q21" s="18"/>
      <c r="R21" s="17"/>
      <c r="S21" s="18"/>
      <c r="T21" s="17"/>
      <c r="U21" s="18"/>
      <c r="V21" s="17"/>
      <c r="W21" s="23">
        <f t="shared" si="0"/>
        <v>0</v>
      </c>
    </row>
    <row r="22" spans="1:23">
      <c r="A22" s="4"/>
      <c r="B22" s="25"/>
      <c r="C22" s="49"/>
      <c r="D22" s="49"/>
      <c r="E22" s="5">
        <f t="shared" si="1"/>
        <v>0</v>
      </c>
      <c r="F22" s="5"/>
      <c r="G22" s="46"/>
      <c r="H22" s="6">
        <f t="shared" si="2"/>
        <v>0</v>
      </c>
      <c r="I22" s="7"/>
      <c r="J22" s="16"/>
      <c r="K22" s="17"/>
      <c r="L22" s="17"/>
      <c r="M22" s="17"/>
      <c r="N22" s="17"/>
      <c r="O22" s="17"/>
      <c r="P22" s="17"/>
      <c r="Q22" s="18"/>
      <c r="R22" s="17"/>
      <c r="S22" s="18"/>
      <c r="T22" s="17"/>
      <c r="U22" s="18"/>
      <c r="V22" s="17"/>
      <c r="W22" s="23">
        <f t="shared" si="0"/>
        <v>0</v>
      </c>
    </row>
    <row r="23" spans="1:23">
      <c r="A23" s="4"/>
      <c r="B23" s="25"/>
      <c r="C23" s="49"/>
      <c r="D23" s="49"/>
      <c r="E23" s="5">
        <f t="shared" si="1"/>
        <v>0</v>
      </c>
      <c r="F23" s="5"/>
      <c r="G23" s="46"/>
      <c r="H23" s="6">
        <f t="shared" si="2"/>
        <v>0</v>
      </c>
      <c r="I23" s="7"/>
      <c r="J23" s="16"/>
      <c r="K23" s="17"/>
      <c r="L23" s="17"/>
      <c r="M23" s="17"/>
      <c r="N23" s="17"/>
      <c r="O23" s="17"/>
      <c r="P23" s="17"/>
      <c r="Q23" s="18"/>
      <c r="R23" s="17"/>
      <c r="S23" s="18"/>
      <c r="T23" s="17"/>
      <c r="U23" s="18"/>
      <c r="V23" s="17"/>
      <c r="W23" s="23">
        <f t="shared" si="0"/>
        <v>0</v>
      </c>
    </row>
    <row r="24" spans="1:23">
      <c r="A24" s="4"/>
      <c r="B24" s="25"/>
      <c r="C24" s="49"/>
      <c r="D24" s="49"/>
      <c r="E24" s="5">
        <f t="shared" si="1"/>
        <v>0</v>
      </c>
      <c r="F24" s="5"/>
      <c r="G24" s="46"/>
      <c r="H24" s="6">
        <f t="shared" si="2"/>
        <v>0</v>
      </c>
      <c r="I24" s="7"/>
      <c r="J24" s="16"/>
      <c r="K24" s="17"/>
      <c r="L24" s="17"/>
      <c r="M24" s="17"/>
      <c r="N24" s="17"/>
      <c r="O24" s="17"/>
      <c r="P24" s="17"/>
      <c r="Q24" s="18"/>
      <c r="R24" s="17"/>
      <c r="S24" s="18"/>
      <c r="T24" s="17"/>
      <c r="U24" s="18"/>
      <c r="V24" s="17"/>
      <c r="W24" s="23">
        <f t="shared" si="0"/>
        <v>0</v>
      </c>
    </row>
    <row r="25" spans="1:23">
      <c r="A25" s="4"/>
      <c r="B25" s="25"/>
      <c r="C25" s="49"/>
      <c r="D25" s="49"/>
      <c r="E25" s="5">
        <f t="shared" si="1"/>
        <v>0</v>
      </c>
      <c r="F25" s="5"/>
      <c r="G25" s="46"/>
      <c r="H25" s="6">
        <f t="shared" si="2"/>
        <v>0</v>
      </c>
      <c r="I25" s="7"/>
      <c r="J25" s="16"/>
      <c r="K25" s="17"/>
      <c r="L25" s="17"/>
      <c r="M25" s="17"/>
      <c r="N25" s="17"/>
      <c r="O25" s="17"/>
      <c r="P25" s="17"/>
      <c r="Q25" s="18"/>
      <c r="R25" s="17"/>
      <c r="S25" s="18"/>
      <c r="T25" s="17"/>
      <c r="U25" s="18"/>
      <c r="V25" s="17"/>
      <c r="W25" s="23">
        <f t="shared" si="0"/>
        <v>0</v>
      </c>
    </row>
    <row r="26" spans="1:23">
      <c r="A26" s="4"/>
      <c r="B26" s="25"/>
      <c r="C26" s="49"/>
      <c r="D26" s="49"/>
      <c r="E26" s="5">
        <f t="shared" si="1"/>
        <v>0</v>
      </c>
      <c r="F26" s="5"/>
      <c r="G26" s="48"/>
      <c r="H26" s="6">
        <f t="shared" si="2"/>
        <v>0</v>
      </c>
      <c r="I26" s="7"/>
      <c r="J26" s="16"/>
      <c r="K26" s="17"/>
      <c r="L26" s="17"/>
      <c r="M26" s="17"/>
      <c r="N26" s="17"/>
      <c r="O26" s="17"/>
      <c r="P26" s="17"/>
      <c r="Q26" s="18"/>
      <c r="R26" s="17"/>
      <c r="S26" s="18"/>
      <c r="T26" s="17"/>
      <c r="U26" s="18"/>
      <c r="V26" s="17"/>
      <c r="W26" s="23">
        <f t="shared" si="0"/>
        <v>0</v>
      </c>
    </row>
    <row r="27" spans="1:23">
      <c r="A27" s="4"/>
      <c r="B27" s="25"/>
      <c r="C27" s="49"/>
      <c r="D27" s="49"/>
      <c r="E27" s="5">
        <f t="shared" si="1"/>
        <v>0</v>
      </c>
      <c r="F27" s="5"/>
      <c r="G27" s="46"/>
      <c r="H27" s="6">
        <f t="shared" si="2"/>
        <v>0</v>
      </c>
      <c r="I27" s="7"/>
      <c r="J27" s="16"/>
      <c r="K27" s="17"/>
      <c r="L27" s="17"/>
      <c r="M27" s="17"/>
      <c r="N27" s="17"/>
      <c r="O27" s="17"/>
      <c r="P27" s="17"/>
      <c r="Q27" s="18"/>
      <c r="R27" s="17"/>
      <c r="S27" s="18"/>
      <c r="T27" s="17"/>
      <c r="U27" s="18"/>
      <c r="V27" s="17"/>
      <c r="W27" s="23">
        <f t="shared" si="0"/>
        <v>0</v>
      </c>
    </row>
    <row r="28" spans="1:23">
      <c r="A28" s="4"/>
      <c r="B28" s="25"/>
      <c r="C28" s="49"/>
      <c r="D28" s="49"/>
      <c r="E28" s="5">
        <f t="shared" si="1"/>
        <v>0</v>
      </c>
      <c r="F28" s="5"/>
      <c r="G28" s="46"/>
      <c r="H28" s="6">
        <f t="shared" si="2"/>
        <v>0</v>
      </c>
      <c r="I28" s="7"/>
      <c r="J28" s="16"/>
      <c r="K28" s="17"/>
      <c r="L28" s="17"/>
      <c r="M28" s="17"/>
      <c r="N28" s="17"/>
      <c r="O28" s="17"/>
      <c r="P28" s="17"/>
      <c r="Q28" s="18"/>
      <c r="R28" s="17"/>
      <c r="S28" s="18"/>
      <c r="T28" s="17"/>
      <c r="U28" s="18"/>
      <c r="V28" s="17"/>
      <c r="W28" s="23">
        <f t="shared" si="0"/>
        <v>0</v>
      </c>
    </row>
    <row r="29" spans="1:23">
      <c r="A29" s="4"/>
      <c r="B29" s="25"/>
      <c r="C29" s="49"/>
      <c r="D29" s="49"/>
      <c r="E29" s="5">
        <f t="shared" si="1"/>
        <v>0</v>
      </c>
      <c r="F29" s="5"/>
      <c r="G29" s="46"/>
      <c r="H29" s="6">
        <f t="shared" si="2"/>
        <v>0</v>
      </c>
      <c r="I29" s="7"/>
      <c r="J29" s="16"/>
      <c r="K29" s="17"/>
      <c r="L29" s="17"/>
      <c r="M29" s="17"/>
      <c r="N29" s="17"/>
      <c r="O29" s="17"/>
      <c r="P29" s="17"/>
      <c r="Q29" s="18"/>
      <c r="R29" s="17"/>
      <c r="S29" s="18"/>
      <c r="T29" s="17"/>
      <c r="U29" s="18"/>
      <c r="V29" s="17"/>
      <c r="W29" s="23">
        <f t="shared" si="0"/>
        <v>0</v>
      </c>
    </row>
    <row r="30" spans="1:23">
      <c r="A30" s="4"/>
      <c r="B30" s="25"/>
      <c r="C30" s="49"/>
      <c r="D30" s="49"/>
      <c r="E30" s="5">
        <f t="shared" si="1"/>
        <v>0</v>
      </c>
      <c r="F30" s="5"/>
      <c r="G30" s="46"/>
      <c r="H30" s="6">
        <f t="shared" si="2"/>
        <v>0</v>
      </c>
      <c r="I30" s="7"/>
      <c r="J30" s="16"/>
      <c r="K30" s="17"/>
      <c r="L30" s="17"/>
      <c r="M30" s="17"/>
      <c r="N30" s="17"/>
      <c r="O30" s="17"/>
      <c r="P30" s="17"/>
      <c r="Q30" s="18"/>
      <c r="R30" s="17"/>
      <c r="S30" s="18"/>
      <c r="T30" s="17"/>
      <c r="U30" s="18"/>
      <c r="V30" s="17"/>
      <c r="W30" s="23">
        <f t="shared" si="0"/>
        <v>0</v>
      </c>
    </row>
    <row r="31" spans="1:23">
      <c r="A31" s="4"/>
      <c r="B31" s="25"/>
      <c r="C31" s="49"/>
      <c r="D31" s="49"/>
      <c r="E31" s="5">
        <f t="shared" si="1"/>
        <v>0</v>
      </c>
      <c r="F31" s="5"/>
      <c r="G31" s="46"/>
      <c r="H31" s="6">
        <f>G31+H30</f>
        <v>0</v>
      </c>
      <c r="I31" s="7"/>
      <c r="J31" s="16"/>
      <c r="K31" s="17"/>
      <c r="L31" s="17"/>
      <c r="M31" s="17"/>
      <c r="N31" s="17"/>
      <c r="O31" s="17"/>
      <c r="P31" s="17"/>
      <c r="Q31" s="18"/>
      <c r="R31" s="17"/>
      <c r="S31" s="18"/>
      <c r="T31" s="17"/>
      <c r="U31" s="18"/>
      <c r="V31" s="17"/>
      <c r="W31" s="23">
        <f t="shared" si="0"/>
        <v>0</v>
      </c>
    </row>
    <row r="32" spans="1:23">
      <c r="A32" s="4"/>
      <c r="B32" s="25"/>
      <c r="C32" s="49"/>
      <c r="D32" s="49"/>
      <c r="E32" s="5">
        <f t="shared" si="1"/>
        <v>0</v>
      </c>
      <c r="F32" s="5"/>
      <c r="G32" s="46"/>
      <c r="H32" s="6">
        <f t="shared" si="2"/>
        <v>0</v>
      </c>
      <c r="I32" s="7"/>
      <c r="J32" s="16"/>
      <c r="K32" s="17"/>
      <c r="L32" s="17"/>
      <c r="M32" s="17"/>
      <c r="N32" s="17"/>
      <c r="O32" s="17"/>
      <c r="P32" s="17"/>
      <c r="Q32" s="18"/>
      <c r="R32" s="17"/>
      <c r="S32" s="18"/>
      <c r="T32" s="17"/>
      <c r="U32" s="18"/>
      <c r="V32" s="17"/>
      <c r="W32" s="23">
        <f t="shared" si="0"/>
        <v>0</v>
      </c>
    </row>
    <row r="33" spans="1:23">
      <c r="A33" s="4"/>
      <c r="B33" s="8"/>
      <c r="C33" s="49"/>
      <c r="D33" s="49"/>
      <c r="E33" s="5">
        <f t="shared" si="1"/>
        <v>0</v>
      </c>
      <c r="F33" s="5"/>
      <c r="G33" s="46"/>
      <c r="H33" s="6">
        <f t="shared" si="2"/>
        <v>0</v>
      </c>
      <c r="I33" s="7"/>
      <c r="J33" s="16"/>
      <c r="K33" s="17"/>
      <c r="L33" s="17"/>
      <c r="M33" s="17"/>
      <c r="N33" s="17"/>
      <c r="O33" s="17"/>
      <c r="P33" s="17"/>
      <c r="Q33" s="18"/>
      <c r="R33" s="17"/>
      <c r="S33" s="18"/>
      <c r="T33" s="17"/>
      <c r="U33" s="18"/>
      <c r="V33" s="17"/>
      <c r="W33" s="23">
        <f t="shared" si="0"/>
        <v>0</v>
      </c>
    </row>
    <row r="34" spans="1:23">
      <c r="A34" s="4"/>
      <c r="B34" s="92"/>
      <c r="C34" s="49"/>
      <c r="D34" s="49"/>
      <c r="E34" s="5">
        <f t="shared" si="1"/>
        <v>0</v>
      </c>
      <c r="F34" s="5"/>
      <c r="G34" s="46"/>
      <c r="H34" s="6">
        <f t="shared" si="2"/>
        <v>0</v>
      </c>
      <c r="I34" s="7"/>
      <c r="J34" s="16"/>
      <c r="K34" s="17"/>
      <c r="L34" s="17"/>
      <c r="M34" s="17"/>
      <c r="N34" s="17"/>
      <c r="O34" s="17"/>
      <c r="P34" s="17"/>
      <c r="Q34" s="18"/>
      <c r="R34" s="17"/>
      <c r="S34" s="18"/>
      <c r="T34" s="17"/>
      <c r="U34" s="18"/>
      <c r="V34" s="17"/>
      <c r="W34" s="23">
        <f t="shared" si="0"/>
        <v>0</v>
      </c>
    </row>
    <row r="35" spans="1:23">
      <c r="A35" s="91" t="s">
        <v>150</v>
      </c>
      <c r="B35" s="93">
        <f>SUM(B4:B34)</f>
        <v>0</v>
      </c>
      <c r="C35" s="93">
        <f t="shared" ref="C35:G35" si="3">SUM(C4:C34)</f>
        <v>0</v>
      </c>
      <c r="D35" s="93">
        <f t="shared" si="3"/>
        <v>0</v>
      </c>
      <c r="E35" s="93">
        <f t="shared" si="3"/>
        <v>0</v>
      </c>
      <c r="F35" s="93">
        <f>F34</f>
        <v>0</v>
      </c>
      <c r="G35" s="93">
        <f t="shared" si="3"/>
        <v>0</v>
      </c>
      <c r="H35" s="97">
        <f>H34</f>
        <v>0</v>
      </c>
      <c r="I35" s="12">
        <f>SUM(I4:I34)</f>
        <v>0</v>
      </c>
      <c r="J35" s="12">
        <f>J34</f>
        <v>0</v>
      </c>
      <c r="K35" s="19">
        <f t="shared" ref="K35:W35" si="4">SUM(K4:K34)</f>
        <v>0</v>
      </c>
      <c r="L35" s="19">
        <f t="shared" si="4"/>
        <v>0</v>
      </c>
      <c r="M35" s="19">
        <f t="shared" si="4"/>
        <v>0</v>
      </c>
      <c r="N35" s="19">
        <f t="shared" si="4"/>
        <v>0</v>
      </c>
      <c r="O35" s="19">
        <f t="shared" si="4"/>
        <v>0</v>
      </c>
      <c r="P35" s="19">
        <f t="shared" si="4"/>
        <v>0</v>
      </c>
      <c r="Q35" s="19">
        <f t="shared" si="4"/>
        <v>0</v>
      </c>
      <c r="R35" s="19">
        <f t="shared" si="4"/>
        <v>0</v>
      </c>
      <c r="S35" s="19">
        <f t="shared" si="4"/>
        <v>0</v>
      </c>
      <c r="T35" s="19">
        <f t="shared" si="4"/>
        <v>0</v>
      </c>
      <c r="U35" s="19">
        <f t="shared" si="4"/>
        <v>0</v>
      </c>
      <c r="V35" s="19">
        <f t="shared" si="4"/>
        <v>0</v>
      </c>
      <c r="W35" s="19">
        <f t="shared" si="4"/>
        <v>0</v>
      </c>
    </row>
  </sheetData>
  <mergeCells count="2">
    <mergeCell ref="A1:I1"/>
    <mergeCell ref="J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D18" sqref="D18"/>
    </sheetView>
  </sheetViews>
  <sheetFormatPr defaultColWidth="9.140625" defaultRowHeight="12.75"/>
  <cols>
    <col min="1" max="1" width="22.42578125" customWidth="1"/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2.85546875" customWidth="1"/>
    <col min="10" max="10" width="14" customWidth="1"/>
    <col min="11" max="11" width="13" customWidth="1"/>
  </cols>
  <sheetData>
    <row r="1" spans="1:23" ht="30.95" customHeight="1">
      <c r="A1" s="203"/>
      <c r="B1" s="203"/>
      <c r="C1" s="203"/>
      <c r="D1" s="203"/>
      <c r="E1" s="203"/>
      <c r="F1" s="203"/>
      <c r="G1" s="203"/>
      <c r="H1" s="203"/>
      <c r="I1" s="203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23" ht="51">
      <c r="A3" s="94" t="s">
        <v>130</v>
      </c>
      <c r="B3" s="94" t="s">
        <v>131</v>
      </c>
      <c r="C3" s="94" t="s">
        <v>151</v>
      </c>
      <c r="D3" s="94" t="s">
        <v>132</v>
      </c>
      <c r="E3" s="94" t="s">
        <v>133</v>
      </c>
      <c r="F3" s="94" t="s">
        <v>134</v>
      </c>
      <c r="G3" s="94" t="s">
        <v>135</v>
      </c>
      <c r="H3" s="94" t="s">
        <v>136</v>
      </c>
      <c r="I3" s="94" t="s">
        <v>137</v>
      </c>
      <c r="J3" s="95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3">
      <c r="A4" s="4"/>
      <c r="B4" s="25"/>
      <c r="C4" s="49"/>
      <c r="D4" s="49"/>
      <c r="E4" s="5">
        <f>+B4-D4-C4</f>
        <v>0</v>
      </c>
      <c r="F4" s="5"/>
      <c r="G4" s="46"/>
      <c r="H4" s="6">
        <f>G4</f>
        <v>0</v>
      </c>
      <c r="I4" s="7"/>
      <c r="J4" s="16"/>
      <c r="K4" s="17"/>
      <c r="L4" s="17"/>
      <c r="M4" s="17"/>
      <c r="N4" s="17"/>
      <c r="O4" s="17"/>
      <c r="P4" s="17"/>
      <c r="Q4" s="18"/>
      <c r="R4" s="17"/>
      <c r="S4" s="18"/>
      <c r="T4" s="17"/>
      <c r="U4" s="18"/>
      <c r="V4" s="17"/>
      <c r="W4" s="23">
        <f t="shared" ref="W4:W34" si="0">SUM(K4:V4)</f>
        <v>0</v>
      </c>
    </row>
    <row r="5" spans="1:23">
      <c r="A5" s="4"/>
      <c r="B5" s="25"/>
      <c r="C5" s="49"/>
      <c r="D5" s="49"/>
      <c r="E5" s="5">
        <f t="shared" ref="E5:E34" si="1">+B5-D5-C5</f>
        <v>0</v>
      </c>
      <c r="F5" s="5"/>
      <c r="G5" s="46"/>
      <c r="H5" s="6">
        <f>G5+H4</f>
        <v>0</v>
      </c>
      <c r="I5" s="7"/>
      <c r="J5" s="16"/>
      <c r="K5" s="17"/>
      <c r="L5" s="17"/>
      <c r="M5" s="17"/>
      <c r="N5" s="17"/>
      <c r="O5" s="17"/>
      <c r="P5" s="17"/>
      <c r="Q5" s="18"/>
      <c r="R5" s="17"/>
      <c r="S5" s="18"/>
      <c r="T5" s="17"/>
      <c r="U5" s="18"/>
      <c r="V5" s="17"/>
      <c r="W5" s="23">
        <f t="shared" si="0"/>
        <v>0</v>
      </c>
    </row>
    <row r="6" spans="1:23">
      <c r="A6" s="4"/>
      <c r="B6" s="25"/>
      <c r="C6" s="49"/>
      <c r="D6" s="49"/>
      <c r="E6" s="5">
        <f t="shared" si="1"/>
        <v>0</v>
      </c>
      <c r="F6" s="5"/>
      <c r="G6" s="46"/>
      <c r="H6" s="6">
        <f>G6+H5</f>
        <v>0</v>
      </c>
      <c r="I6" s="7"/>
      <c r="J6" s="16"/>
      <c r="K6" s="17"/>
      <c r="L6" s="17"/>
      <c r="M6" s="17"/>
      <c r="N6" s="17"/>
      <c r="O6" s="17"/>
      <c r="P6" s="17"/>
      <c r="Q6" s="18"/>
      <c r="R6" s="17"/>
      <c r="S6" s="18"/>
      <c r="T6" s="17"/>
      <c r="U6" s="18"/>
      <c r="V6" s="17"/>
      <c r="W6" s="23">
        <f t="shared" si="0"/>
        <v>0</v>
      </c>
    </row>
    <row r="7" spans="1:23">
      <c r="A7" s="4"/>
      <c r="B7" s="25"/>
      <c r="C7" s="49"/>
      <c r="D7" s="49"/>
      <c r="E7" s="5">
        <f t="shared" si="1"/>
        <v>0</v>
      </c>
      <c r="F7" s="5"/>
      <c r="G7" s="46"/>
      <c r="H7" s="6">
        <f t="shared" ref="H7:H34" si="2">G7+H6</f>
        <v>0</v>
      </c>
      <c r="I7" s="7"/>
      <c r="J7" s="16"/>
      <c r="K7" s="17"/>
      <c r="L7" s="17"/>
      <c r="M7" s="17"/>
      <c r="N7" s="17"/>
      <c r="O7" s="17"/>
      <c r="P7" s="17"/>
      <c r="Q7" s="18"/>
      <c r="R7" s="17"/>
      <c r="S7" s="18"/>
      <c r="T7" s="17"/>
      <c r="U7" s="18"/>
      <c r="V7" s="17"/>
      <c r="W7" s="23">
        <f t="shared" si="0"/>
        <v>0</v>
      </c>
    </row>
    <row r="8" spans="1:23">
      <c r="A8" s="4"/>
      <c r="B8" s="25"/>
      <c r="C8" s="49"/>
      <c r="D8" s="49"/>
      <c r="E8" s="5">
        <f t="shared" si="1"/>
        <v>0</v>
      </c>
      <c r="F8" s="5"/>
      <c r="G8" s="46"/>
      <c r="H8" s="6">
        <f t="shared" si="2"/>
        <v>0</v>
      </c>
      <c r="I8" s="7"/>
      <c r="J8" s="16"/>
      <c r="K8" s="17"/>
      <c r="L8" s="17"/>
      <c r="M8" s="17"/>
      <c r="N8" s="17"/>
      <c r="O8" s="17"/>
      <c r="P8" s="17"/>
      <c r="Q8" s="18"/>
      <c r="R8" s="17"/>
      <c r="S8" s="18"/>
      <c r="T8" s="17"/>
      <c r="U8" s="18"/>
      <c r="V8" s="17"/>
      <c r="W8" s="23">
        <f t="shared" si="0"/>
        <v>0</v>
      </c>
    </row>
    <row r="9" spans="1:23">
      <c r="A9" s="4"/>
      <c r="B9" s="25"/>
      <c r="C9" s="49"/>
      <c r="D9" s="49"/>
      <c r="E9" s="5">
        <f t="shared" si="1"/>
        <v>0</v>
      </c>
      <c r="F9" s="5"/>
      <c r="G9" s="46"/>
      <c r="H9" s="6">
        <f t="shared" si="2"/>
        <v>0</v>
      </c>
      <c r="I9" s="7"/>
      <c r="J9" s="16"/>
      <c r="K9" s="17"/>
      <c r="L9" s="17"/>
      <c r="M9" s="17"/>
      <c r="N9" s="17"/>
      <c r="O9" s="17"/>
      <c r="P9" s="17"/>
      <c r="Q9" s="18"/>
      <c r="R9" s="17"/>
      <c r="S9" s="18"/>
      <c r="T9" s="17"/>
      <c r="U9" s="18"/>
      <c r="V9" s="17"/>
      <c r="W9" s="23">
        <f t="shared" si="0"/>
        <v>0</v>
      </c>
    </row>
    <row r="10" spans="1:23">
      <c r="A10" s="4"/>
      <c r="B10" s="25"/>
      <c r="C10" s="49"/>
      <c r="D10" s="49"/>
      <c r="E10" s="5">
        <f t="shared" si="1"/>
        <v>0</v>
      </c>
      <c r="F10" s="5"/>
      <c r="G10" s="46"/>
      <c r="H10" s="6">
        <f t="shared" si="2"/>
        <v>0</v>
      </c>
      <c r="I10" s="7"/>
      <c r="J10" s="16"/>
      <c r="K10" s="17"/>
      <c r="L10" s="17"/>
      <c r="M10" s="17"/>
      <c r="N10" s="17"/>
      <c r="O10" s="17"/>
      <c r="P10" s="17"/>
      <c r="Q10" s="18"/>
      <c r="R10" s="17"/>
      <c r="S10" s="18"/>
      <c r="T10" s="17"/>
      <c r="U10" s="18"/>
      <c r="V10" s="17"/>
      <c r="W10" s="23">
        <f t="shared" si="0"/>
        <v>0</v>
      </c>
    </row>
    <row r="11" spans="1:23">
      <c r="A11" s="4"/>
      <c r="B11" s="26"/>
      <c r="C11" s="49"/>
      <c r="D11" s="49"/>
      <c r="E11" s="5">
        <f t="shared" si="1"/>
        <v>0</v>
      </c>
      <c r="F11" s="5"/>
      <c r="G11" s="46"/>
      <c r="H11" s="6">
        <f t="shared" si="2"/>
        <v>0</v>
      </c>
      <c r="I11" s="7"/>
      <c r="J11" s="16"/>
      <c r="K11" s="17"/>
      <c r="L11" s="17"/>
      <c r="M11" s="17"/>
      <c r="N11" s="17"/>
      <c r="O11" s="17"/>
      <c r="P11" s="17"/>
      <c r="Q11" s="18"/>
      <c r="R11" s="17"/>
      <c r="S11" s="18"/>
      <c r="T11" s="17"/>
      <c r="U11" s="18"/>
      <c r="V11" s="17"/>
      <c r="W11" s="23">
        <f t="shared" si="0"/>
        <v>0</v>
      </c>
    </row>
    <row r="12" spans="1:23">
      <c r="A12" s="4"/>
      <c r="B12" s="25"/>
      <c r="C12" s="49"/>
      <c r="D12" s="49"/>
      <c r="E12" s="5">
        <f t="shared" si="1"/>
        <v>0</v>
      </c>
      <c r="F12" s="5"/>
      <c r="G12" s="46"/>
      <c r="H12" s="6">
        <f t="shared" si="2"/>
        <v>0</v>
      </c>
      <c r="I12" s="7"/>
      <c r="J12" s="16"/>
      <c r="K12" s="17"/>
      <c r="L12" s="17"/>
      <c r="M12" s="17"/>
      <c r="N12" s="17"/>
      <c r="O12" s="17"/>
      <c r="P12" s="17"/>
      <c r="Q12" s="18"/>
      <c r="R12" s="17"/>
      <c r="S12" s="18"/>
      <c r="T12" s="17"/>
      <c r="U12" s="18"/>
      <c r="V12" s="17"/>
      <c r="W12" s="23">
        <f t="shared" si="0"/>
        <v>0</v>
      </c>
    </row>
    <row r="13" spans="1:23">
      <c r="A13" s="4"/>
      <c r="B13" s="9"/>
      <c r="C13" s="49"/>
      <c r="D13" s="49"/>
      <c r="E13" s="5">
        <f t="shared" si="1"/>
        <v>0</v>
      </c>
      <c r="F13" s="5"/>
      <c r="G13" s="46"/>
      <c r="H13" s="6">
        <f t="shared" si="2"/>
        <v>0</v>
      </c>
      <c r="I13" s="7"/>
      <c r="J13" s="16"/>
      <c r="K13" s="17"/>
      <c r="L13" s="17"/>
      <c r="M13" s="17"/>
      <c r="N13" s="17"/>
      <c r="O13" s="17"/>
      <c r="P13" s="17"/>
      <c r="Q13" s="18"/>
      <c r="R13" s="17"/>
      <c r="S13" s="18"/>
      <c r="T13" s="17"/>
      <c r="U13" s="18"/>
      <c r="V13" s="17"/>
      <c r="W13" s="23">
        <f t="shared" si="0"/>
        <v>0</v>
      </c>
    </row>
    <row r="14" spans="1:23">
      <c r="A14" s="4"/>
      <c r="B14" s="9"/>
      <c r="C14" s="49"/>
      <c r="D14" s="49"/>
      <c r="E14" s="5">
        <f t="shared" si="1"/>
        <v>0</v>
      </c>
      <c r="F14" s="5"/>
      <c r="G14" s="46"/>
      <c r="H14" s="6">
        <f t="shared" si="2"/>
        <v>0</v>
      </c>
      <c r="I14" s="7"/>
      <c r="J14" s="16"/>
      <c r="K14" s="17"/>
      <c r="L14" s="17"/>
      <c r="M14" s="17"/>
      <c r="N14" s="17"/>
      <c r="O14" s="17"/>
      <c r="P14" s="17"/>
      <c r="Q14" s="18"/>
      <c r="R14" s="17"/>
      <c r="S14" s="18"/>
      <c r="T14" s="17"/>
      <c r="U14" s="18"/>
      <c r="V14" s="17"/>
      <c r="W14" s="23">
        <f t="shared" si="0"/>
        <v>0</v>
      </c>
    </row>
    <row r="15" spans="1:23">
      <c r="A15" s="4"/>
      <c r="B15" s="10"/>
      <c r="C15" s="49"/>
      <c r="D15" s="49"/>
      <c r="E15" s="5">
        <f t="shared" si="1"/>
        <v>0</v>
      </c>
      <c r="F15" s="5"/>
      <c r="G15" s="46"/>
      <c r="H15" s="6">
        <f t="shared" si="2"/>
        <v>0</v>
      </c>
      <c r="I15" s="7"/>
      <c r="J15" s="16"/>
      <c r="K15" s="17"/>
      <c r="L15" s="17"/>
      <c r="M15" s="17"/>
      <c r="N15" s="17"/>
      <c r="O15" s="17"/>
      <c r="P15" s="17"/>
      <c r="Q15" s="18"/>
      <c r="R15" s="17"/>
      <c r="S15" s="18"/>
      <c r="T15" s="17"/>
      <c r="U15" s="18"/>
      <c r="V15" s="17"/>
      <c r="W15" s="23">
        <f t="shared" si="0"/>
        <v>0</v>
      </c>
    </row>
    <row r="16" spans="1:23">
      <c r="A16" s="4"/>
      <c r="B16" s="25"/>
      <c r="C16" s="49"/>
      <c r="D16" s="49"/>
      <c r="E16" s="5">
        <f t="shared" si="1"/>
        <v>0</v>
      </c>
      <c r="F16" s="5"/>
      <c r="G16" s="46"/>
      <c r="H16" s="6">
        <f t="shared" si="2"/>
        <v>0</v>
      </c>
      <c r="I16" s="7"/>
      <c r="J16" s="16"/>
      <c r="K16" s="17"/>
      <c r="L16" s="17"/>
      <c r="M16" s="17"/>
      <c r="N16" s="17"/>
      <c r="O16" s="17"/>
      <c r="P16" s="17"/>
      <c r="Q16" s="18"/>
      <c r="R16" s="17"/>
      <c r="S16" s="18"/>
      <c r="T16" s="17"/>
      <c r="U16" s="18"/>
      <c r="V16" s="17"/>
      <c r="W16" s="23">
        <f t="shared" si="0"/>
        <v>0</v>
      </c>
    </row>
    <row r="17" spans="1:23">
      <c r="A17" s="4"/>
      <c r="B17" s="25"/>
      <c r="C17" s="49"/>
      <c r="D17" s="49"/>
      <c r="E17" s="5">
        <f t="shared" si="1"/>
        <v>0</v>
      </c>
      <c r="F17" s="5"/>
      <c r="G17" s="46"/>
      <c r="H17" s="6">
        <f t="shared" si="2"/>
        <v>0</v>
      </c>
      <c r="I17" s="7"/>
      <c r="J17" s="16"/>
      <c r="K17" s="17"/>
      <c r="L17" s="17"/>
      <c r="M17" s="17"/>
      <c r="N17" s="17"/>
      <c r="O17" s="17"/>
      <c r="P17" s="17"/>
      <c r="Q17" s="18"/>
      <c r="R17" s="17"/>
      <c r="S17" s="18"/>
      <c r="T17" s="17"/>
      <c r="U17" s="18"/>
      <c r="V17" s="17"/>
      <c r="W17" s="23">
        <f t="shared" si="0"/>
        <v>0</v>
      </c>
    </row>
    <row r="18" spans="1:23">
      <c r="A18" s="4"/>
      <c r="B18" s="25"/>
      <c r="C18" s="49"/>
      <c r="D18" s="49"/>
      <c r="E18" s="5">
        <f t="shared" si="1"/>
        <v>0</v>
      </c>
      <c r="F18" s="5"/>
      <c r="G18" s="46"/>
      <c r="H18" s="6">
        <f t="shared" si="2"/>
        <v>0</v>
      </c>
      <c r="I18" s="7"/>
      <c r="J18" s="16"/>
      <c r="K18" s="17"/>
      <c r="L18" s="17"/>
      <c r="M18" s="17"/>
      <c r="N18" s="17"/>
      <c r="O18" s="17"/>
      <c r="P18" s="17"/>
      <c r="Q18" s="18"/>
      <c r="R18" s="17"/>
      <c r="S18" s="18"/>
      <c r="T18" s="17"/>
      <c r="U18" s="18"/>
      <c r="V18" s="17"/>
      <c r="W18" s="23">
        <f t="shared" si="0"/>
        <v>0</v>
      </c>
    </row>
    <row r="19" spans="1:23">
      <c r="A19" s="4"/>
      <c r="B19" s="25"/>
      <c r="C19" s="49"/>
      <c r="D19" s="49"/>
      <c r="E19" s="5">
        <f t="shared" si="1"/>
        <v>0</v>
      </c>
      <c r="F19" s="5"/>
      <c r="G19" s="46"/>
      <c r="H19" s="6">
        <f t="shared" si="2"/>
        <v>0</v>
      </c>
      <c r="I19" s="7"/>
      <c r="J19" s="16"/>
      <c r="K19" s="17"/>
      <c r="L19" s="17"/>
      <c r="M19" s="17"/>
      <c r="N19" s="17"/>
      <c r="O19" s="17"/>
      <c r="P19" s="17"/>
      <c r="Q19" s="18"/>
      <c r="R19" s="17"/>
      <c r="S19" s="18"/>
      <c r="T19" s="17"/>
      <c r="U19" s="18"/>
      <c r="V19" s="17"/>
      <c r="W19" s="23">
        <f t="shared" si="0"/>
        <v>0</v>
      </c>
    </row>
    <row r="20" spans="1:23">
      <c r="A20" s="4"/>
      <c r="B20" s="25"/>
      <c r="C20" s="49"/>
      <c r="D20" s="49"/>
      <c r="E20" s="5">
        <f t="shared" si="1"/>
        <v>0</v>
      </c>
      <c r="F20" s="5"/>
      <c r="G20" s="46"/>
      <c r="H20" s="6">
        <f t="shared" si="2"/>
        <v>0</v>
      </c>
      <c r="I20" s="7"/>
      <c r="J20" s="16"/>
      <c r="K20" s="17"/>
      <c r="L20" s="17"/>
      <c r="M20" s="17"/>
      <c r="N20" s="17"/>
      <c r="O20" s="17"/>
      <c r="P20" s="17"/>
      <c r="Q20" s="18"/>
      <c r="R20" s="17"/>
      <c r="S20" s="18"/>
      <c r="T20" s="17"/>
      <c r="U20" s="18"/>
      <c r="V20" s="17"/>
      <c r="W20" s="23">
        <f t="shared" si="0"/>
        <v>0</v>
      </c>
    </row>
    <row r="21" spans="1:23">
      <c r="A21" s="4"/>
      <c r="B21" s="50"/>
      <c r="C21" s="49"/>
      <c r="D21" s="49"/>
      <c r="E21" s="5">
        <f t="shared" si="1"/>
        <v>0</v>
      </c>
      <c r="F21" s="5"/>
      <c r="G21" s="47"/>
      <c r="H21" s="6">
        <f t="shared" si="2"/>
        <v>0</v>
      </c>
      <c r="I21" s="7"/>
      <c r="J21" s="16"/>
      <c r="K21" s="17"/>
      <c r="L21" s="17"/>
      <c r="M21" s="17"/>
      <c r="N21" s="17"/>
      <c r="O21" s="17"/>
      <c r="P21" s="17"/>
      <c r="Q21" s="18"/>
      <c r="R21" s="17"/>
      <c r="S21" s="18"/>
      <c r="T21" s="17"/>
      <c r="U21" s="18"/>
      <c r="V21" s="17"/>
      <c r="W21" s="23">
        <f t="shared" si="0"/>
        <v>0</v>
      </c>
    </row>
    <row r="22" spans="1:23">
      <c r="A22" s="4"/>
      <c r="B22" s="25"/>
      <c r="C22" s="49"/>
      <c r="D22" s="49"/>
      <c r="E22" s="5">
        <f t="shared" si="1"/>
        <v>0</v>
      </c>
      <c r="F22" s="5"/>
      <c r="G22" s="46"/>
      <c r="H22" s="6">
        <f t="shared" si="2"/>
        <v>0</v>
      </c>
      <c r="I22" s="7"/>
      <c r="J22" s="16"/>
      <c r="K22" s="17"/>
      <c r="L22" s="17"/>
      <c r="M22" s="17"/>
      <c r="N22" s="17"/>
      <c r="O22" s="17"/>
      <c r="P22" s="17"/>
      <c r="Q22" s="18"/>
      <c r="R22" s="17"/>
      <c r="S22" s="18"/>
      <c r="T22" s="17"/>
      <c r="U22" s="18"/>
      <c r="V22" s="17"/>
      <c r="W22" s="23">
        <f t="shared" si="0"/>
        <v>0</v>
      </c>
    </row>
    <row r="23" spans="1:23">
      <c r="A23" s="4"/>
      <c r="B23" s="25"/>
      <c r="C23" s="49"/>
      <c r="D23" s="49"/>
      <c r="E23" s="5">
        <f t="shared" si="1"/>
        <v>0</v>
      </c>
      <c r="F23" s="5"/>
      <c r="G23" s="46"/>
      <c r="H23" s="6">
        <f t="shared" si="2"/>
        <v>0</v>
      </c>
      <c r="I23" s="7"/>
      <c r="J23" s="16"/>
      <c r="K23" s="17"/>
      <c r="L23" s="17"/>
      <c r="M23" s="17"/>
      <c r="N23" s="17"/>
      <c r="O23" s="17"/>
      <c r="P23" s="17"/>
      <c r="Q23" s="18"/>
      <c r="R23" s="17"/>
      <c r="S23" s="18"/>
      <c r="T23" s="17"/>
      <c r="U23" s="18"/>
      <c r="V23" s="17"/>
      <c r="W23" s="23">
        <f t="shared" si="0"/>
        <v>0</v>
      </c>
    </row>
    <row r="24" spans="1:23">
      <c r="A24" s="4"/>
      <c r="B24" s="25"/>
      <c r="C24" s="49"/>
      <c r="D24" s="49"/>
      <c r="E24" s="5">
        <f t="shared" si="1"/>
        <v>0</v>
      </c>
      <c r="F24" s="5"/>
      <c r="G24" s="46"/>
      <c r="H24" s="6">
        <f t="shared" si="2"/>
        <v>0</v>
      </c>
      <c r="I24" s="7"/>
      <c r="J24" s="16"/>
      <c r="K24" s="17"/>
      <c r="L24" s="17"/>
      <c r="M24" s="17"/>
      <c r="N24" s="17"/>
      <c r="O24" s="17"/>
      <c r="P24" s="17"/>
      <c r="Q24" s="18"/>
      <c r="R24" s="17"/>
      <c r="S24" s="18"/>
      <c r="T24" s="17"/>
      <c r="U24" s="18"/>
      <c r="V24" s="17"/>
      <c r="W24" s="23">
        <f t="shared" si="0"/>
        <v>0</v>
      </c>
    </row>
    <row r="25" spans="1:23">
      <c r="A25" s="4"/>
      <c r="B25" s="25"/>
      <c r="C25" s="49"/>
      <c r="D25" s="49"/>
      <c r="E25" s="5">
        <f t="shared" si="1"/>
        <v>0</v>
      </c>
      <c r="F25" s="5"/>
      <c r="G25" s="46"/>
      <c r="H25" s="6">
        <f t="shared" si="2"/>
        <v>0</v>
      </c>
      <c r="I25" s="7"/>
      <c r="J25" s="16"/>
      <c r="K25" s="17"/>
      <c r="L25" s="17"/>
      <c r="M25" s="17"/>
      <c r="N25" s="17"/>
      <c r="O25" s="17"/>
      <c r="P25" s="17"/>
      <c r="Q25" s="18"/>
      <c r="R25" s="17"/>
      <c r="S25" s="18"/>
      <c r="T25" s="17"/>
      <c r="U25" s="18"/>
      <c r="V25" s="17"/>
      <c r="W25" s="23">
        <f t="shared" si="0"/>
        <v>0</v>
      </c>
    </row>
    <row r="26" spans="1:23">
      <c r="A26" s="4"/>
      <c r="B26" s="25"/>
      <c r="C26" s="49"/>
      <c r="D26" s="49"/>
      <c r="E26" s="5">
        <f t="shared" si="1"/>
        <v>0</v>
      </c>
      <c r="F26" s="5"/>
      <c r="G26" s="48"/>
      <c r="H26" s="6">
        <f t="shared" si="2"/>
        <v>0</v>
      </c>
      <c r="I26" s="7"/>
      <c r="J26" s="16"/>
      <c r="K26" s="17"/>
      <c r="L26" s="17"/>
      <c r="M26" s="17"/>
      <c r="N26" s="17"/>
      <c r="O26" s="17"/>
      <c r="P26" s="17"/>
      <c r="Q26" s="18"/>
      <c r="R26" s="17"/>
      <c r="S26" s="18"/>
      <c r="T26" s="17"/>
      <c r="U26" s="18"/>
      <c r="V26" s="17"/>
      <c r="W26" s="23">
        <f t="shared" si="0"/>
        <v>0</v>
      </c>
    </row>
    <row r="27" spans="1:23">
      <c r="A27" s="4"/>
      <c r="B27" s="25"/>
      <c r="C27" s="49"/>
      <c r="D27" s="49"/>
      <c r="E27" s="5">
        <f t="shared" si="1"/>
        <v>0</v>
      </c>
      <c r="F27" s="5"/>
      <c r="G27" s="46"/>
      <c r="H27" s="6">
        <f t="shared" si="2"/>
        <v>0</v>
      </c>
      <c r="I27" s="7"/>
      <c r="J27" s="16"/>
      <c r="K27" s="17"/>
      <c r="L27" s="17"/>
      <c r="M27" s="17"/>
      <c r="N27" s="17"/>
      <c r="O27" s="17"/>
      <c r="P27" s="17"/>
      <c r="Q27" s="18"/>
      <c r="R27" s="17"/>
      <c r="S27" s="18"/>
      <c r="T27" s="17"/>
      <c r="U27" s="18"/>
      <c r="V27" s="17"/>
      <c r="W27" s="23">
        <f t="shared" si="0"/>
        <v>0</v>
      </c>
    </row>
    <row r="28" spans="1:23">
      <c r="A28" s="4"/>
      <c r="B28" s="25"/>
      <c r="C28" s="49"/>
      <c r="D28" s="49"/>
      <c r="E28" s="5">
        <f t="shared" si="1"/>
        <v>0</v>
      </c>
      <c r="F28" s="5"/>
      <c r="G28" s="46"/>
      <c r="H28" s="6">
        <f t="shared" si="2"/>
        <v>0</v>
      </c>
      <c r="I28" s="7"/>
      <c r="J28" s="16"/>
      <c r="K28" s="17"/>
      <c r="L28" s="17"/>
      <c r="M28" s="17"/>
      <c r="N28" s="17"/>
      <c r="O28" s="17"/>
      <c r="P28" s="17"/>
      <c r="Q28" s="18"/>
      <c r="R28" s="17"/>
      <c r="S28" s="18"/>
      <c r="T28" s="17"/>
      <c r="U28" s="18"/>
      <c r="V28" s="17"/>
      <c r="W28" s="23">
        <f t="shared" si="0"/>
        <v>0</v>
      </c>
    </row>
    <row r="29" spans="1:23">
      <c r="A29" s="4"/>
      <c r="B29" s="25"/>
      <c r="C29" s="49"/>
      <c r="D29" s="49"/>
      <c r="E29" s="5">
        <f t="shared" si="1"/>
        <v>0</v>
      </c>
      <c r="F29" s="5"/>
      <c r="G29" s="46"/>
      <c r="H29" s="6">
        <f t="shared" si="2"/>
        <v>0</v>
      </c>
      <c r="I29" s="7"/>
      <c r="J29" s="16"/>
      <c r="K29" s="17"/>
      <c r="L29" s="17"/>
      <c r="M29" s="17"/>
      <c r="N29" s="17"/>
      <c r="O29" s="17"/>
      <c r="P29" s="17"/>
      <c r="Q29" s="18"/>
      <c r="R29" s="17"/>
      <c r="S29" s="18"/>
      <c r="T29" s="17"/>
      <c r="U29" s="18"/>
      <c r="V29" s="17"/>
      <c r="W29" s="23">
        <f t="shared" si="0"/>
        <v>0</v>
      </c>
    </row>
    <row r="30" spans="1:23">
      <c r="A30" s="4"/>
      <c r="B30" s="25"/>
      <c r="C30" s="49"/>
      <c r="D30" s="49"/>
      <c r="E30" s="5">
        <f t="shared" si="1"/>
        <v>0</v>
      </c>
      <c r="F30" s="5"/>
      <c r="G30" s="46"/>
      <c r="H30" s="6">
        <f t="shared" si="2"/>
        <v>0</v>
      </c>
      <c r="I30" s="7"/>
      <c r="J30" s="16"/>
      <c r="K30" s="17"/>
      <c r="L30" s="17"/>
      <c r="M30" s="17"/>
      <c r="N30" s="17"/>
      <c r="O30" s="17"/>
      <c r="P30" s="17"/>
      <c r="Q30" s="18"/>
      <c r="R30" s="17"/>
      <c r="S30" s="18"/>
      <c r="T30" s="17"/>
      <c r="U30" s="18"/>
      <c r="V30" s="17"/>
      <c r="W30" s="23">
        <f t="shared" si="0"/>
        <v>0</v>
      </c>
    </row>
    <row r="31" spans="1:23">
      <c r="A31" s="4"/>
      <c r="B31" s="25"/>
      <c r="C31" s="49"/>
      <c r="D31" s="49"/>
      <c r="E31" s="5">
        <f t="shared" si="1"/>
        <v>0</v>
      </c>
      <c r="F31" s="5"/>
      <c r="G31" s="46"/>
      <c r="H31" s="6">
        <f>G31+H30</f>
        <v>0</v>
      </c>
      <c r="I31" s="7"/>
      <c r="J31" s="16"/>
      <c r="K31" s="17"/>
      <c r="L31" s="17"/>
      <c r="M31" s="17"/>
      <c r="N31" s="17"/>
      <c r="O31" s="17"/>
      <c r="P31" s="17"/>
      <c r="Q31" s="18"/>
      <c r="R31" s="17"/>
      <c r="S31" s="18"/>
      <c r="T31" s="17"/>
      <c r="U31" s="18"/>
      <c r="V31" s="17"/>
      <c r="W31" s="23">
        <f t="shared" si="0"/>
        <v>0</v>
      </c>
    </row>
    <row r="32" spans="1:23">
      <c r="A32" s="4"/>
      <c r="B32" s="25"/>
      <c r="C32" s="49"/>
      <c r="D32" s="49"/>
      <c r="E32" s="5">
        <f t="shared" si="1"/>
        <v>0</v>
      </c>
      <c r="F32" s="5"/>
      <c r="G32" s="46"/>
      <c r="H32" s="6">
        <f t="shared" si="2"/>
        <v>0</v>
      </c>
      <c r="I32" s="7"/>
      <c r="J32" s="16"/>
      <c r="K32" s="17"/>
      <c r="L32" s="17"/>
      <c r="M32" s="17"/>
      <c r="N32" s="17"/>
      <c r="O32" s="17"/>
      <c r="P32" s="17"/>
      <c r="Q32" s="18"/>
      <c r="R32" s="17"/>
      <c r="S32" s="18"/>
      <c r="T32" s="17"/>
      <c r="U32" s="18"/>
      <c r="V32" s="17"/>
      <c r="W32" s="23">
        <f t="shared" si="0"/>
        <v>0</v>
      </c>
    </row>
    <row r="33" spans="1:23">
      <c r="A33" s="4"/>
      <c r="B33" s="8"/>
      <c r="C33" s="49"/>
      <c r="D33" s="49"/>
      <c r="E33" s="5">
        <f t="shared" si="1"/>
        <v>0</v>
      </c>
      <c r="F33" s="5"/>
      <c r="G33" s="46"/>
      <c r="H33" s="6">
        <f t="shared" si="2"/>
        <v>0</v>
      </c>
      <c r="I33" s="7"/>
      <c r="J33" s="16"/>
      <c r="K33" s="17"/>
      <c r="L33" s="17"/>
      <c r="M33" s="17"/>
      <c r="N33" s="17"/>
      <c r="O33" s="17"/>
      <c r="P33" s="17"/>
      <c r="Q33" s="18"/>
      <c r="R33" s="17"/>
      <c r="S33" s="18"/>
      <c r="T33" s="17"/>
      <c r="U33" s="18"/>
      <c r="V33" s="17"/>
      <c r="W33" s="23">
        <f t="shared" si="0"/>
        <v>0</v>
      </c>
    </row>
    <row r="34" spans="1:23">
      <c r="A34" s="4"/>
      <c r="B34" s="92"/>
      <c r="C34" s="49"/>
      <c r="D34" s="49"/>
      <c r="E34" s="5">
        <f t="shared" si="1"/>
        <v>0</v>
      </c>
      <c r="F34" s="5"/>
      <c r="G34" s="46"/>
      <c r="H34" s="6">
        <f t="shared" si="2"/>
        <v>0</v>
      </c>
      <c r="I34" s="7"/>
      <c r="J34" s="16"/>
      <c r="K34" s="17"/>
      <c r="L34" s="17"/>
      <c r="M34" s="17"/>
      <c r="N34" s="17"/>
      <c r="O34" s="17"/>
      <c r="P34" s="17"/>
      <c r="Q34" s="18"/>
      <c r="R34" s="17"/>
      <c r="S34" s="18"/>
      <c r="T34" s="17"/>
      <c r="U34" s="18"/>
      <c r="V34" s="17"/>
      <c r="W34" s="23">
        <f t="shared" si="0"/>
        <v>0</v>
      </c>
    </row>
    <row r="35" spans="1:23">
      <c r="A35" s="91" t="s">
        <v>150</v>
      </c>
      <c r="B35" s="93">
        <f>SUM(B4:B34)</f>
        <v>0</v>
      </c>
      <c r="C35" s="93">
        <f t="shared" ref="C35:G35" si="3">SUM(C4:C34)</f>
        <v>0</v>
      </c>
      <c r="D35" s="93">
        <f t="shared" si="3"/>
        <v>0</v>
      </c>
      <c r="E35" s="93">
        <f t="shared" si="3"/>
        <v>0</v>
      </c>
      <c r="F35" s="93">
        <f>F34</f>
        <v>0</v>
      </c>
      <c r="G35" s="93">
        <f t="shared" si="3"/>
        <v>0</v>
      </c>
      <c r="H35" s="97">
        <f>H34</f>
        <v>0</v>
      </c>
      <c r="I35" s="12">
        <f>SUM(I4:I34)</f>
        <v>0</v>
      </c>
      <c r="J35" s="12">
        <f>J34</f>
        <v>0</v>
      </c>
      <c r="K35" s="19">
        <f t="shared" ref="K35:W35" si="4">SUM(K4:K34)</f>
        <v>0</v>
      </c>
      <c r="L35" s="19">
        <f t="shared" si="4"/>
        <v>0</v>
      </c>
      <c r="M35" s="19">
        <f t="shared" si="4"/>
        <v>0</v>
      </c>
      <c r="N35" s="19">
        <f t="shared" si="4"/>
        <v>0</v>
      </c>
      <c r="O35" s="19">
        <f t="shared" si="4"/>
        <v>0</v>
      </c>
      <c r="P35" s="19">
        <f t="shared" si="4"/>
        <v>0</v>
      </c>
      <c r="Q35" s="19">
        <f t="shared" si="4"/>
        <v>0</v>
      </c>
      <c r="R35" s="19">
        <f t="shared" si="4"/>
        <v>0</v>
      </c>
      <c r="S35" s="19">
        <f t="shared" si="4"/>
        <v>0</v>
      </c>
      <c r="T35" s="19">
        <f t="shared" si="4"/>
        <v>0</v>
      </c>
      <c r="U35" s="19">
        <f t="shared" si="4"/>
        <v>0</v>
      </c>
      <c r="V35" s="19">
        <f t="shared" si="4"/>
        <v>0</v>
      </c>
      <c r="W35" s="19">
        <f t="shared" si="4"/>
        <v>0</v>
      </c>
    </row>
  </sheetData>
  <mergeCells count="2">
    <mergeCell ref="A1:I1"/>
    <mergeCell ref="J1:W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topLeftCell="A5" workbookViewId="0">
      <selection activeCell="E19" sqref="D19:E33"/>
    </sheetView>
  </sheetViews>
  <sheetFormatPr defaultColWidth="9.140625" defaultRowHeight="12.75"/>
  <cols>
    <col min="1" max="1" width="22.42578125" customWidth="1"/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2.85546875" customWidth="1"/>
    <col min="10" max="10" width="14" customWidth="1"/>
    <col min="11" max="11" width="13" customWidth="1"/>
  </cols>
  <sheetData>
    <row r="1" spans="1:23" ht="30.95" customHeight="1">
      <c r="A1" s="203"/>
      <c r="B1" s="203"/>
      <c r="C1" s="203"/>
      <c r="D1" s="203"/>
      <c r="E1" s="203"/>
      <c r="F1" s="203"/>
      <c r="G1" s="203"/>
      <c r="H1" s="203"/>
      <c r="I1" s="203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23" ht="51">
      <c r="A3" s="94" t="s">
        <v>130</v>
      </c>
      <c r="B3" s="94" t="s">
        <v>131</v>
      </c>
      <c r="C3" s="94" t="s">
        <v>151</v>
      </c>
      <c r="D3" s="94" t="s">
        <v>132</v>
      </c>
      <c r="E3" s="94" t="s">
        <v>133</v>
      </c>
      <c r="F3" s="94" t="s">
        <v>134</v>
      </c>
      <c r="G3" s="94" t="s">
        <v>135</v>
      </c>
      <c r="H3" s="94" t="s">
        <v>136</v>
      </c>
      <c r="I3" s="94" t="s">
        <v>137</v>
      </c>
      <c r="J3" s="95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3">
      <c r="A4" s="4"/>
      <c r="B4" s="25"/>
      <c r="C4" s="49"/>
      <c r="D4" s="49"/>
      <c r="E4" s="5">
        <f>+B4-D4-C4</f>
        <v>0</v>
      </c>
      <c r="F4" s="5"/>
      <c r="G4" s="46"/>
      <c r="H4" s="6">
        <f>G4</f>
        <v>0</v>
      </c>
      <c r="I4" s="7"/>
      <c r="J4" s="16"/>
      <c r="K4" s="17"/>
      <c r="L4" s="17"/>
      <c r="M4" s="17"/>
      <c r="N4" s="17"/>
      <c r="O4" s="17"/>
      <c r="P4" s="17"/>
      <c r="Q4" s="18"/>
      <c r="R4" s="17"/>
      <c r="S4" s="18"/>
      <c r="T4" s="17"/>
      <c r="U4" s="18"/>
      <c r="V4" s="17"/>
      <c r="W4" s="23">
        <f t="shared" ref="W4:W34" si="0">SUM(K4:V4)</f>
        <v>0</v>
      </c>
    </row>
    <row r="5" spans="1:23">
      <c r="A5" s="4"/>
      <c r="B5" s="25"/>
      <c r="C5" s="49"/>
      <c r="D5" s="49"/>
      <c r="E5" s="5">
        <f t="shared" ref="E5:E34" si="1">+B5-D5-C5</f>
        <v>0</v>
      </c>
      <c r="F5" s="5"/>
      <c r="G5" s="46"/>
      <c r="H5" s="6">
        <f>G5+H4</f>
        <v>0</v>
      </c>
      <c r="I5" s="7"/>
      <c r="J5" s="16"/>
      <c r="K5" s="17"/>
      <c r="L5" s="17"/>
      <c r="M5" s="17"/>
      <c r="N5" s="17"/>
      <c r="O5" s="17"/>
      <c r="P5" s="17"/>
      <c r="Q5" s="18"/>
      <c r="R5" s="17"/>
      <c r="S5" s="18"/>
      <c r="T5" s="17"/>
      <c r="U5" s="18"/>
      <c r="V5" s="17"/>
      <c r="W5" s="23">
        <f t="shared" si="0"/>
        <v>0</v>
      </c>
    </row>
    <row r="6" spans="1:23">
      <c r="A6" s="4"/>
      <c r="B6" s="25"/>
      <c r="C6" s="49"/>
      <c r="D6" s="49"/>
      <c r="E6" s="5">
        <f t="shared" si="1"/>
        <v>0</v>
      </c>
      <c r="F6" s="5"/>
      <c r="G6" s="46"/>
      <c r="H6" s="6">
        <f>G6+H5</f>
        <v>0</v>
      </c>
      <c r="I6" s="7"/>
      <c r="J6" s="16"/>
      <c r="K6" s="17"/>
      <c r="L6" s="17"/>
      <c r="M6" s="17"/>
      <c r="N6" s="17"/>
      <c r="O6" s="17"/>
      <c r="P6" s="17"/>
      <c r="Q6" s="18"/>
      <c r="R6" s="17"/>
      <c r="S6" s="18"/>
      <c r="T6" s="17"/>
      <c r="U6" s="18"/>
      <c r="V6" s="17"/>
      <c r="W6" s="23">
        <f t="shared" si="0"/>
        <v>0</v>
      </c>
    </row>
    <row r="7" spans="1:23">
      <c r="A7" s="4"/>
      <c r="B7" s="25"/>
      <c r="C7" s="49"/>
      <c r="D7" s="49"/>
      <c r="E7" s="5">
        <f t="shared" si="1"/>
        <v>0</v>
      </c>
      <c r="F7" s="5"/>
      <c r="G7" s="46"/>
      <c r="H7" s="6">
        <f t="shared" ref="H7:H34" si="2">G7+H6</f>
        <v>0</v>
      </c>
      <c r="I7" s="7"/>
      <c r="J7" s="16"/>
      <c r="K7" s="17"/>
      <c r="L7" s="17"/>
      <c r="M7" s="17"/>
      <c r="N7" s="17"/>
      <c r="O7" s="17"/>
      <c r="P7" s="17"/>
      <c r="Q7" s="18"/>
      <c r="R7" s="17"/>
      <c r="S7" s="18"/>
      <c r="T7" s="17"/>
      <c r="U7" s="18"/>
      <c r="V7" s="17"/>
      <c r="W7" s="23">
        <f t="shared" si="0"/>
        <v>0</v>
      </c>
    </row>
    <row r="8" spans="1:23">
      <c r="A8" s="4"/>
      <c r="B8" s="25"/>
      <c r="C8" s="49"/>
      <c r="D8" s="49"/>
      <c r="E8" s="5">
        <f t="shared" si="1"/>
        <v>0</v>
      </c>
      <c r="F8" s="5"/>
      <c r="G8" s="46"/>
      <c r="H8" s="6">
        <f t="shared" si="2"/>
        <v>0</v>
      </c>
      <c r="I8" s="7"/>
      <c r="J8" s="16"/>
      <c r="K8" s="17"/>
      <c r="L8" s="17"/>
      <c r="M8" s="17"/>
      <c r="N8" s="17"/>
      <c r="O8" s="17"/>
      <c r="P8" s="17"/>
      <c r="Q8" s="18"/>
      <c r="R8" s="17"/>
      <c r="S8" s="18"/>
      <c r="T8" s="17"/>
      <c r="U8" s="18"/>
      <c r="V8" s="17"/>
      <c r="W8" s="23">
        <f t="shared" si="0"/>
        <v>0</v>
      </c>
    </row>
    <row r="9" spans="1:23">
      <c r="A9" s="4"/>
      <c r="B9" s="25"/>
      <c r="C9" s="49"/>
      <c r="D9" s="49"/>
      <c r="E9" s="5">
        <f t="shared" si="1"/>
        <v>0</v>
      </c>
      <c r="F9" s="5"/>
      <c r="G9" s="46"/>
      <c r="H9" s="6">
        <f t="shared" si="2"/>
        <v>0</v>
      </c>
      <c r="I9" s="7"/>
      <c r="J9" s="16"/>
      <c r="K9" s="17"/>
      <c r="L9" s="17"/>
      <c r="M9" s="17"/>
      <c r="N9" s="17"/>
      <c r="O9" s="17"/>
      <c r="P9" s="17"/>
      <c r="Q9" s="18"/>
      <c r="R9" s="17"/>
      <c r="S9" s="18"/>
      <c r="T9" s="17"/>
      <c r="U9" s="18"/>
      <c r="V9" s="17"/>
      <c r="W9" s="23">
        <f t="shared" si="0"/>
        <v>0</v>
      </c>
    </row>
    <row r="10" spans="1:23">
      <c r="A10" s="4"/>
      <c r="B10" s="25"/>
      <c r="C10" s="49"/>
      <c r="D10" s="49"/>
      <c r="E10" s="5">
        <f t="shared" si="1"/>
        <v>0</v>
      </c>
      <c r="F10" s="5"/>
      <c r="G10" s="46"/>
      <c r="H10" s="6">
        <f t="shared" si="2"/>
        <v>0</v>
      </c>
      <c r="I10" s="7"/>
      <c r="J10" s="16"/>
      <c r="K10" s="17"/>
      <c r="L10" s="17"/>
      <c r="M10" s="17"/>
      <c r="N10" s="17"/>
      <c r="O10" s="17"/>
      <c r="P10" s="17"/>
      <c r="Q10" s="18"/>
      <c r="R10" s="17"/>
      <c r="S10" s="18"/>
      <c r="T10" s="17"/>
      <c r="U10" s="18"/>
      <c r="V10" s="17"/>
      <c r="W10" s="23">
        <f t="shared" si="0"/>
        <v>0</v>
      </c>
    </row>
    <row r="11" spans="1:23">
      <c r="A11" s="4"/>
      <c r="B11" s="26"/>
      <c r="C11" s="49"/>
      <c r="D11" s="49"/>
      <c r="E11" s="5">
        <f t="shared" si="1"/>
        <v>0</v>
      </c>
      <c r="F11" s="5"/>
      <c r="G11" s="46"/>
      <c r="H11" s="6">
        <f t="shared" si="2"/>
        <v>0</v>
      </c>
      <c r="I11" s="7"/>
      <c r="J11" s="16"/>
      <c r="K11" s="17"/>
      <c r="L11" s="17"/>
      <c r="M11" s="17"/>
      <c r="N11" s="17"/>
      <c r="O11" s="17"/>
      <c r="P11" s="17"/>
      <c r="Q11" s="18"/>
      <c r="R11" s="17"/>
      <c r="S11" s="18"/>
      <c r="T11" s="17"/>
      <c r="U11" s="18"/>
      <c r="V11" s="17"/>
      <c r="W11" s="23">
        <f t="shared" si="0"/>
        <v>0</v>
      </c>
    </row>
    <row r="12" spans="1:23">
      <c r="A12" s="4"/>
      <c r="B12" s="25"/>
      <c r="C12" s="49"/>
      <c r="D12" s="49"/>
      <c r="E12" s="5">
        <f t="shared" si="1"/>
        <v>0</v>
      </c>
      <c r="F12" s="5"/>
      <c r="G12" s="46"/>
      <c r="H12" s="6">
        <f t="shared" si="2"/>
        <v>0</v>
      </c>
      <c r="I12" s="7"/>
      <c r="J12" s="16"/>
      <c r="K12" s="17"/>
      <c r="L12" s="17"/>
      <c r="M12" s="17"/>
      <c r="N12" s="17"/>
      <c r="O12" s="17"/>
      <c r="P12" s="17"/>
      <c r="Q12" s="18"/>
      <c r="R12" s="17"/>
      <c r="S12" s="18"/>
      <c r="T12" s="17"/>
      <c r="U12" s="18"/>
      <c r="V12" s="17"/>
      <c r="W12" s="23">
        <f t="shared" si="0"/>
        <v>0</v>
      </c>
    </row>
    <row r="13" spans="1:23">
      <c r="A13" s="4"/>
      <c r="B13" s="9"/>
      <c r="C13" s="49"/>
      <c r="D13" s="49"/>
      <c r="E13" s="5">
        <f t="shared" si="1"/>
        <v>0</v>
      </c>
      <c r="F13" s="5"/>
      <c r="G13" s="46"/>
      <c r="H13" s="6">
        <f t="shared" si="2"/>
        <v>0</v>
      </c>
      <c r="I13" s="7"/>
      <c r="J13" s="16"/>
      <c r="K13" s="17"/>
      <c r="L13" s="17"/>
      <c r="M13" s="17"/>
      <c r="N13" s="17"/>
      <c r="O13" s="17"/>
      <c r="P13" s="17"/>
      <c r="Q13" s="18"/>
      <c r="R13" s="17"/>
      <c r="S13" s="18"/>
      <c r="T13" s="17"/>
      <c r="U13" s="18"/>
      <c r="V13" s="17"/>
      <c r="W13" s="23">
        <f t="shared" si="0"/>
        <v>0</v>
      </c>
    </row>
    <row r="14" spans="1:23">
      <c r="A14" s="4"/>
      <c r="B14" s="9"/>
      <c r="C14" s="49"/>
      <c r="D14" s="49"/>
      <c r="E14" s="5">
        <f t="shared" si="1"/>
        <v>0</v>
      </c>
      <c r="F14" s="5"/>
      <c r="G14" s="46"/>
      <c r="H14" s="6">
        <f t="shared" si="2"/>
        <v>0</v>
      </c>
      <c r="I14" s="7"/>
      <c r="J14" s="16"/>
      <c r="K14" s="17"/>
      <c r="L14" s="17"/>
      <c r="M14" s="17"/>
      <c r="N14" s="17"/>
      <c r="O14" s="17"/>
      <c r="P14" s="17"/>
      <c r="Q14" s="18"/>
      <c r="R14" s="17"/>
      <c r="S14" s="18"/>
      <c r="T14" s="17"/>
      <c r="U14" s="18"/>
      <c r="V14" s="17"/>
      <c r="W14" s="23">
        <f t="shared" si="0"/>
        <v>0</v>
      </c>
    </row>
    <row r="15" spans="1:23">
      <c r="A15" s="4"/>
      <c r="B15" s="10"/>
      <c r="C15" s="49"/>
      <c r="D15" s="49"/>
      <c r="E15" s="5">
        <f t="shared" si="1"/>
        <v>0</v>
      </c>
      <c r="F15" s="5"/>
      <c r="G15" s="46"/>
      <c r="H15" s="6">
        <f t="shared" si="2"/>
        <v>0</v>
      </c>
      <c r="I15" s="7"/>
      <c r="J15" s="16"/>
      <c r="K15" s="17"/>
      <c r="L15" s="17"/>
      <c r="M15" s="17"/>
      <c r="N15" s="17"/>
      <c r="O15" s="17"/>
      <c r="P15" s="17"/>
      <c r="Q15" s="18"/>
      <c r="R15" s="17"/>
      <c r="S15" s="18"/>
      <c r="T15" s="17"/>
      <c r="U15" s="18"/>
      <c r="V15" s="17"/>
      <c r="W15" s="23">
        <f t="shared" si="0"/>
        <v>0</v>
      </c>
    </row>
    <row r="16" spans="1:23">
      <c r="A16" s="4"/>
      <c r="B16" s="25"/>
      <c r="C16" s="49"/>
      <c r="D16" s="49"/>
      <c r="E16" s="5">
        <f t="shared" si="1"/>
        <v>0</v>
      </c>
      <c r="F16" s="5"/>
      <c r="G16" s="46"/>
      <c r="H16" s="6">
        <f t="shared" si="2"/>
        <v>0</v>
      </c>
      <c r="I16" s="7"/>
      <c r="J16" s="16"/>
      <c r="K16" s="17"/>
      <c r="L16" s="17"/>
      <c r="M16" s="17"/>
      <c r="N16" s="17"/>
      <c r="O16" s="17"/>
      <c r="P16" s="17"/>
      <c r="Q16" s="18"/>
      <c r="R16" s="17"/>
      <c r="S16" s="18"/>
      <c r="T16" s="17"/>
      <c r="U16" s="18"/>
      <c r="V16" s="17"/>
      <c r="W16" s="23">
        <f t="shared" si="0"/>
        <v>0</v>
      </c>
    </row>
    <row r="17" spans="1:23">
      <c r="A17" s="4"/>
      <c r="B17" s="25"/>
      <c r="C17" s="49"/>
      <c r="D17" s="49"/>
      <c r="E17" s="5">
        <f t="shared" si="1"/>
        <v>0</v>
      </c>
      <c r="F17" s="5"/>
      <c r="G17" s="46"/>
      <c r="H17" s="6">
        <f t="shared" si="2"/>
        <v>0</v>
      </c>
      <c r="I17" s="7"/>
      <c r="J17" s="16"/>
      <c r="K17" s="17"/>
      <c r="L17" s="17"/>
      <c r="M17" s="17"/>
      <c r="N17" s="17"/>
      <c r="O17" s="17"/>
      <c r="P17" s="17"/>
      <c r="Q17" s="18"/>
      <c r="R17" s="17"/>
      <c r="S17" s="18"/>
      <c r="T17" s="17"/>
      <c r="U17" s="18"/>
      <c r="V17" s="17"/>
      <c r="W17" s="23">
        <f t="shared" si="0"/>
        <v>0</v>
      </c>
    </row>
    <row r="18" spans="1:23">
      <c r="A18" s="4"/>
      <c r="B18" s="25"/>
      <c r="C18" s="49"/>
      <c r="D18" s="49"/>
      <c r="E18" s="5">
        <f t="shared" si="1"/>
        <v>0</v>
      </c>
      <c r="F18" s="5"/>
      <c r="G18" s="46"/>
      <c r="H18" s="6">
        <f t="shared" si="2"/>
        <v>0</v>
      </c>
      <c r="I18" s="7"/>
      <c r="J18" s="16"/>
      <c r="K18" s="17"/>
      <c r="L18" s="17"/>
      <c r="M18" s="17"/>
      <c r="N18" s="17"/>
      <c r="O18" s="17"/>
      <c r="P18" s="17"/>
      <c r="Q18" s="18"/>
      <c r="R18" s="17"/>
      <c r="S18" s="18"/>
      <c r="T18" s="17"/>
      <c r="U18" s="18"/>
      <c r="V18" s="17"/>
      <c r="W18" s="23">
        <f t="shared" si="0"/>
        <v>0</v>
      </c>
    </row>
    <row r="19" spans="1:23">
      <c r="A19" s="4"/>
      <c r="B19" s="25"/>
      <c r="C19" s="49"/>
      <c r="D19" s="49"/>
      <c r="E19" s="5">
        <f t="shared" si="1"/>
        <v>0</v>
      </c>
      <c r="F19" s="5"/>
      <c r="G19" s="46"/>
      <c r="H19" s="6">
        <f t="shared" si="2"/>
        <v>0</v>
      </c>
      <c r="I19" s="7"/>
      <c r="J19" s="16"/>
      <c r="K19" s="17"/>
      <c r="L19" s="17"/>
      <c r="M19" s="17"/>
      <c r="N19" s="17"/>
      <c r="O19" s="17"/>
      <c r="P19" s="17"/>
      <c r="Q19" s="18"/>
      <c r="R19" s="17"/>
      <c r="S19" s="18"/>
      <c r="T19" s="17"/>
      <c r="U19" s="18"/>
      <c r="V19" s="17"/>
      <c r="W19" s="23">
        <f t="shared" si="0"/>
        <v>0</v>
      </c>
    </row>
    <row r="20" spans="1:23">
      <c r="A20" s="4"/>
      <c r="B20" s="25"/>
      <c r="C20" s="49"/>
      <c r="D20" s="49"/>
      <c r="E20" s="5">
        <f t="shared" si="1"/>
        <v>0</v>
      </c>
      <c r="F20" s="5"/>
      <c r="G20" s="46"/>
      <c r="H20" s="6">
        <f t="shared" si="2"/>
        <v>0</v>
      </c>
      <c r="I20" s="7"/>
      <c r="J20" s="16"/>
      <c r="K20" s="17"/>
      <c r="L20" s="17"/>
      <c r="M20" s="17"/>
      <c r="N20" s="17"/>
      <c r="O20" s="17"/>
      <c r="P20" s="17"/>
      <c r="Q20" s="18"/>
      <c r="R20" s="17"/>
      <c r="S20" s="18"/>
      <c r="T20" s="17"/>
      <c r="U20" s="18"/>
      <c r="V20" s="17"/>
      <c r="W20" s="23">
        <f t="shared" si="0"/>
        <v>0</v>
      </c>
    </row>
    <row r="21" spans="1:23">
      <c r="A21" s="4"/>
      <c r="B21" s="50"/>
      <c r="C21" s="49"/>
      <c r="D21" s="49"/>
      <c r="E21" s="5">
        <f t="shared" si="1"/>
        <v>0</v>
      </c>
      <c r="F21" s="5"/>
      <c r="G21" s="47"/>
      <c r="H21" s="6">
        <f t="shared" si="2"/>
        <v>0</v>
      </c>
      <c r="I21" s="7"/>
      <c r="J21" s="16"/>
      <c r="K21" s="17"/>
      <c r="L21" s="17"/>
      <c r="M21" s="17"/>
      <c r="N21" s="17"/>
      <c r="O21" s="17"/>
      <c r="P21" s="17"/>
      <c r="Q21" s="18"/>
      <c r="R21" s="17"/>
      <c r="S21" s="18"/>
      <c r="T21" s="17"/>
      <c r="U21" s="18"/>
      <c r="V21" s="17"/>
      <c r="W21" s="23">
        <f t="shared" si="0"/>
        <v>0</v>
      </c>
    </row>
    <row r="22" spans="1:23">
      <c r="A22" s="4"/>
      <c r="B22" s="25"/>
      <c r="C22" s="49"/>
      <c r="D22" s="49"/>
      <c r="E22" s="5">
        <f t="shared" si="1"/>
        <v>0</v>
      </c>
      <c r="F22" s="5"/>
      <c r="G22" s="46"/>
      <c r="H22" s="6">
        <f t="shared" si="2"/>
        <v>0</v>
      </c>
      <c r="I22" s="7"/>
      <c r="J22" s="16"/>
      <c r="K22" s="17"/>
      <c r="L22" s="17"/>
      <c r="M22" s="17"/>
      <c r="N22" s="17"/>
      <c r="O22" s="17"/>
      <c r="P22" s="17"/>
      <c r="Q22" s="18"/>
      <c r="R22" s="17"/>
      <c r="S22" s="18"/>
      <c r="T22" s="17"/>
      <c r="U22" s="18"/>
      <c r="V22" s="17"/>
      <c r="W22" s="23">
        <f t="shared" si="0"/>
        <v>0</v>
      </c>
    </row>
    <row r="23" spans="1:23">
      <c r="A23" s="4"/>
      <c r="B23" s="25"/>
      <c r="C23" s="49"/>
      <c r="D23" s="49"/>
      <c r="E23" s="5">
        <f t="shared" si="1"/>
        <v>0</v>
      </c>
      <c r="F23" s="5"/>
      <c r="G23" s="46"/>
      <c r="H23" s="6">
        <f t="shared" si="2"/>
        <v>0</v>
      </c>
      <c r="I23" s="7"/>
      <c r="J23" s="16"/>
      <c r="K23" s="17"/>
      <c r="L23" s="17"/>
      <c r="M23" s="17"/>
      <c r="N23" s="17"/>
      <c r="O23" s="17"/>
      <c r="P23" s="17"/>
      <c r="Q23" s="18"/>
      <c r="R23" s="17"/>
      <c r="S23" s="18"/>
      <c r="T23" s="17"/>
      <c r="U23" s="18"/>
      <c r="V23" s="17"/>
      <c r="W23" s="23">
        <f t="shared" si="0"/>
        <v>0</v>
      </c>
    </row>
    <row r="24" spans="1:23">
      <c r="A24" s="4"/>
      <c r="B24" s="25"/>
      <c r="C24" s="49"/>
      <c r="D24" s="49"/>
      <c r="E24" s="5">
        <f t="shared" si="1"/>
        <v>0</v>
      </c>
      <c r="F24" s="5"/>
      <c r="G24" s="46"/>
      <c r="H24" s="6">
        <f t="shared" si="2"/>
        <v>0</v>
      </c>
      <c r="I24" s="7"/>
      <c r="J24" s="16"/>
      <c r="K24" s="17"/>
      <c r="L24" s="17"/>
      <c r="M24" s="17"/>
      <c r="N24" s="17"/>
      <c r="O24" s="17"/>
      <c r="P24" s="17"/>
      <c r="Q24" s="18"/>
      <c r="R24" s="17"/>
      <c r="S24" s="18"/>
      <c r="T24" s="17"/>
      <c r="U24" s="18"/>
      <c r="V24" s="17"/>
      <c r="W24" s="23">
        <f t="shared" si="0"/>
        <v>0</v>
      </c>
    </row>
    <row r="25" spans="1:23">
      <c r="A25" s="4"/>
      <c r="B25" s="25"/>
      <c r="C25" s="49"/>
      <c r="D25" s="49"/>
      <c r="E25" s="5">
        <f t="shared" si="1"/>
        <v>0</v>
      </c>
      <c r="F25" s="5"/>
      <c r="G25" s="46"/>
      <c r="H25" s="6">
        <f t="shared" si="2"/>
        <v>0</v>
      </c>
      <c r="I25" s="7"/>
      <c r="J25" s="16"/>
      <c r="K25" s="17"/>
      <c r="L25" s="17"/>
      <c r="M25" s="17"/>
      <c r="N25" s="17"/>
      <c r="O25" s="17"/>
      <c r="P25" s="17"/>
      <c r="Q25" s="18"/>
      <c r="R25" s="17"/>
      <c r="S25" s="18"/>
      <c r="T25" s="17"/>
      <c r="U25" s="18"/>
      <c r="V25" s="17"/>
      <c r="W25" s="23">
        <f t="shared" si="0"/>
        <v>0</v>
      </c>
    </row>
    <row r="26" spans="1:23">
      <c r="A26" s="4"/>
      <c r="B26" s="25"/>
      <c r="C26" s="49"/>
      <c r="D26" s="49"/>
      <c r="E26" s="5">
        <f t="shared" si="1"/>
        <v>0</v>
      </c>
      <c r="F26" s="5"/>
      <c r="G26" s="48"/>
      <c r="H26" s="6">
        <f t="shared" si="2"/>
        <v>0</v>
      </c>
      <c r="I26" s="7"/>
      <c r="J26" s="16"/>
      <c r="K26" s="17"/>
      <c r="L26" s="17"/>
      <c r="M26" s="17"/>
      <c r="N26" s="17"/>
      <c r="O26" s="17"/>
      <c r="P26" s="17"/>
      <c r="Q26" s="18"/>
      <c r="R26" s="17"/>
      <c r="S26" s="18"/>
      <c r="T26" s="17"/>
      <c r="U26" s="18"/>
      <c r="V26" s="17"/>
      <c r="W26" s="23">
        <f t="shared" si="0"/>
        <v>0</v>
      </c>
    </row>
    <row r="27" spans="1:23">
      <c r="A27" s="4"/>
      <c r="B27" s="25"/>
      <c r="C27" s="49"/>
      <c r="D27" s="49"/>
      <c r="E27" s="5">
        <f t="shared" si="1"/>
        <v>0</v>
      </c>
      <c r="F27" s="5"/>
      <c r="G27" s="46"/>
      <c r="H27" s="6">
        <f t="shared" si="2"/>
        <v>0</v>
      </c>
      <c r="I27" s="7"/>
      <c r="J27" s="16"/>
      <c r="K27" s="17"/>
      <c r="L27" s="17"/>
      <c r="M27" s="17"/>
      <c r="N27" s="17"/>
      <c r="O27" s="17"/>
      <c r="P27" s="17"/>
      <c r="Q27" s="18"/>
      <c r="R27" s="17"/>
      <c r="S27" s="18"/>
      <c r="T27" s="17"/>
      <c r="U27" s="18"/>
      <c r="V27" s="17"/>
      <c r="W27" s="23">
        <f t="shared" si="0"/>
        <v>0</v>
      </c>
    </row>
    <row r="28" spans="1:23">
      <c r="A28" s="4"/>
      <c r="B28" s="25"/>
      <c r="C28" s="49"/>
      <c r="D28" s="49"/>
      <c r="E28" s="5">
        <f t="shared" si="1"/>
        <v>0</v>
      </c>
      <c r="F28" s="5"/>
      <c r="G28" s="46"/>
      <c r="H28" s="6">
        <f t="shared" si="2"/>
        <v>0</v>
      </c>
      <c r="I28" s="7"/>
      <c r="J28" s="16"/>
      <c r="K28" s="17"/>
      <c r="L28" s="17"/>
      <c r="M28" s="17"/>
      <c r="N28" s="17"/>
      <c r="O28" s="17"/>
      <c r="P28" s="17"/>
      <c r="Q28" s="18"/>
      <c r="R28" s="17"/>
      <c r="S28" s="18"/>
      <c r="T28" s="17"/>
      <c r="U28" s="18"/>
      <c r="V28" s="17"/>
      <c r="W28" s="23">
        <f t="shared" si="0"/>
        <v>0</v>
      </c>
    </row>
    <row r="29" spans="1:23">
      <c r="A29" s="4"/>
      <c r="B29" s="25"/>
      <c r="C29" s="49"/>
      <c r="D29" s="49"/>
      <c r="E29" s="5">
        <f t="shared" si="1"/>
        <v>0</v>
      </c>
      <c r="F29" s="5"/>
      <c r="G29" s="46"/>
      <c r="H29" s="6">
        <f t="shared" si="2"/>
        <v>0</v>
      </c>
      <c r="I29" s="7"/>
      <c r="J29" s="16"/>
      <c r="K29" s="17"/>
      <c r="L29" s="17"/>
      <c r="M29" s="17"/>
      <c r="N29" s="17"/>
      <c r="O29" s="17"/>
      <c r="P29" s="17"/>
      <c r="Q29" s="18"/>
      <c r="R29" s="17"/>
      <c r="S29" s="18"/>
      <c r="T29" s="17"/>
      <c r="U29" s="18"/>
      <c r="V29" s="17"/>
      <c r="W29" s="23">
        <f t="shared" si="0"/>
        <v>0</v>
      </c>
    </row>
    <row r="30" spans="1:23">
      <c r="A30" s="4"/>
      <c r="B30" s="25"/>
      <c r="C30" s="49"/>
      <c r="D30" s="49"/>
      <c r="E30" s="5">
        <f t="shared" si="1"/>
        <v>0</v>
      </c>
      <c r="F30" s="5"/>
      <c r="G30" s="46"/>
      <c r="H30" s="6">
        <f t="shared" si="2"/>
        <v>0</v>
      </c>
      <c r="I30" s="7"/>
      <c r="J30" s="16"/>
      <c r="K30" s="17"/>
      <c r="L30" s="17"/>
      <c r="M30" s="17"/>
      <c r="N30" s="17"/>
      <c r="O30" s="17"/>
      <c r="P30" s="17"/>
      <c r="Q30" s="18"/>
      <c r="R30" s="17"/>
      <c r="S30" s="18"/>
      <c r="T30" s="17"/>
      <c r="U30" s="18"/>
      <c r="V30" s="17"/>
      <c r="W30" s="23">
        <f t="shared" si="0"/>
        <v>0</v>
      </c>
    </row>
    <row r="31" spans="1:23">
      <c r="A31" s="4"/>
      <c r="B31" s="25"/>
      <c r="C31" s="49"/>
      <c r="D31" s="49"/>
      <c r="E31" s="5">
        <f t="shared" si="1"/>
        <v>0</v>
      </c>
      <c r="F31" s="5"/>
      <c r="G31" s="46"/>
      <c r="H31" s="6">
        <f>G31+H30</f>
        <v>0</v>
      </c>
      <c r="I31" s="7"/>
      <c r="J31" s="16"/>
      <c r="K31" s="17"/>
      <c r="L31" s="17"/>
      <c r="M31" s="17"/>
      <c r="N31" s="17"/>
      <c r="O31" s="17"/>
      <c r="P31" s="17"/>
      <c r="Q31" s="18"/>
      <c r="R31" s="17"/>
      <c r="S31" s="18"/>
      <c r="T31" s="17"/>
      <c r="U31" s="18"/>
      <c r="V31" s="17"/>
      <c r="W31" s="23">
        <f t="shared" si="0"/>
        <v>0</v>
      </c>
    </row>
    <row r="32" spans="1:23">
      <c r="A32" s="4"/>
      <c r="B32" s="25"/>
      <c r="C32" s="49"/>
      <c r="D32" s="49"/>
      <c r="E32" s="5">
        <f t="shared" si="1"/>
        <v>0</v>
      </c>
      <c r="F32" s="5"/>
      <c r="G32" s="46"/>
      <c r="H32" s="6">
        <f t="shared" si="2"/>
        <v>0</v>
      </c>
      <c r="I32" s="7"/>
      <c r="J32" s="16"/>
      <c r="K32" s="17"/>
      <c r="L32" s="17"/>
      <c r="M32" s="17"/>
      <c r="N32" s="17"/>
      <c r="O32" s="17"/>
      <c r="P32" s="17"/>
      <c r="Q32" s="18"/>
      <c r="R32" s="17"/>
      <c r="S32" s="18"/>
      <c r="T32" s="17"/>
      <c r="U32" s="18"/>
      <c r="V32" s="17"/>
      <c r="W32" s="23">
        <f t="shared" si="0"/>
        <v>0</v>
      </c>
    </row>
    <row r="33" spans="1:23">
      <c r="A33" s="4"/>
      <c r="B33" s="8"/>
      <c r="C33" s="49"/>
      <c r="D33" s="49"/>
      <c r="E33" s="5">
        <f t="shared" si="1"/>
        <v>0</v>
      </c>
      <c r="F33" s="5"/>
      <c r="G33" s="46"/>
      <c r="H33" s="6">
        <f t="shared" si="2"/>
        <v>0</v>
      </c>
      <c r="I33" s="7"/>
      <c r="J33" s="16"/>
      <c r="K33" s="17"/>
      <c r="L33" s="17"/>
      <c r="M33" s="17"/>
      <c r="N33" s="17"/>
      <c r="O33" s="17"/>
      <c r="P33" s="17"/>
      <c r="Q33" s="18"/>
      <c r="R33" s="17"/>
      <c r="S33" s="18"/>
      <c r="T33" s="17"/>
      <c r="U33" s="18"/>
      <c r="V33" s="17"/>
      <c r="W33" s="23">
        <f t="shared" si="0"/>
        <v>0</v>
      </c>
    </row>
    <row r="34" spans="1:23">
      <c r="A34" s="4"/>
      <c r="B34" s="92"/>
      <c r="C34" s="49"/>
      <c r="D34" s="49"/>
      <c r="E34" s="5">
        <f t="shared" si="1"/>
        <v>0</v>
      </c>
      <c r="F34" s="5"/>
      <c r="G34" s="46"/>
      <c r="H34" s="6">
        <f t="shared" si="2"/>
        <v>0</v>
      </c>
      <c r="I34" s="7"/>
      <c r="J34" s="16"/>
      <c r="K34" s="17"/>
      <c r="L34" s="17"/>
      <c r="M34" s="17"/>
      <c r="N34" s="17"/>
      <c r="O34" s="17"/>
      <c r="P34" s="17"/>
      <c r="Q34" s="18"/>
      <c r="R34" s="17"/>
      <c r="S34" s="18"/>
      <c r="T34" s="17"/>
      <c r="U34" s="18"/>
      <c r="V34" s="17"/>
      <c r="W34" s="23">
        <f t="shared" si="0"/>
        <v>0</v>
      </c>
    </row>
    <row r="35" spans="1:23">
      <c r="A35" s="91" t="s">
        <v>150</v>
      </c>
      <c r="B35" s="93">
        <f>SUM(B4:B34)</f>
        <v>0</v>
      </c>
      <c r="C35" s="93">
        <f t="shared" ref="C35:G35" si="3">SUM(C4:C34)</f>
        <v>0</v>
      </c>
      <c r="D35" s="93">
        <f t="shared" si="3"/>
        <v>0</v>
      </c>
      <c r="E35" s="93">
        <f t="shared" si="3"/>
        <v>0</v>
      </c>
      <c r="F35" s="93">
        <f>F34</f>
        <v>0</v>
      </c>
      <c r="G35" s="93">
        <f t="shared" si="3"/>
        <v>0</v>
      </c>
      <c r="H35" s="97">
        <f>H34</f>
        <v>0</v>
      </c>
      <c r="I35" s="12">
        <f>SUM(I4:I34)</f>
        <v>0</v>
      </c>
      <c r="J35" s="12">
        <f>J34</f>
        <v>0</v>
      </c>
      <c r="K35" s="19">
        <f t="shared" ref="K35:W35" si="4">SUM(K4:K34)</f>
        <v>0</v>
      </c>
      <c r="L35" s="19">
        <f t="shared" si="4"/>
        <v>0</v>
      </c>
      <c r="M35" s="19">
        <f t="shared" si="4"/>
        <v>0</v>
      </c>
      <c r="N35" s="19">
        <f t="shared" si="4"/>
        <v>0</v>
      </c>
      <c r="O35" s="19">
        <f t="shared" si="4"/>
        <v>0</v>
      </c>
      <c r="P35" s="19">
        <f t="shared" si="4"/>
        <v>0</v>
      </c>
      <c r="Q35" s="19">
        <f t="shared" si="4"/>
        <v>0</v>
      </c>
      <c r="R35" s="19">
        <f t="shared" si="4"/>
        <v>0</v>
      </c>
      <c r="S35" s="19">
        <f t="shared" si="4"/>
        <v>0</v>
      </c>
      <c r="T35" s="19">
        <f t="shared" si="4"/>
        <v>0</v>
      </c>
      <c r="U35" s="19">
        <f t="shared" si="4"/>
        <v>0</v>
      </c>
      <c r="V35" s="19">
        <f t="shared" si="4"/>
        <v>0</v>
      </c>
      <c r="W35" s="19">
        <f t="shared" si="4"/>
        <v>0</v>
      </c>
    </row>
  </sheetData>
  <mergeCells count="2">
    <mergeCell ref="A1:I1"/>
    <mergeCell ref="J1:W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E17" sqref="E17"/>
    </sheetView>
  </sheetViews>
  <sheetFormatPr defaultColWidth="9.140625" defaultRowHeight="12.75"/>
  <cols>
    <col min="1" max="1" width="22.42578125" customWidth="1"/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2.85546875" customWidth="1"/>
    <col min="10" max="10" width="14" customWidth="1"/>
    <col min="11" max="11" width="13" customWidth="1"/>
  </cols>
  <sheetData>
    <row r="1" spans="1:23" ht="30.95" customHeight="1">
      <c r="A1" s="203"/>
      <c r="B1" s="203"/>
      <c r="C1" s="203"/>
      <c r="D1" s="203"/>
      <c r="E1" s="203"/>
      <c r="F1" s="203"/>
      <c r="G1" s="203"/>
      <c r="H1" s="203"/>
      <c r="I1" s="203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23" ht="51">
      <c r="A3" s="94" t="s">
        <v>130</v>
      </c>
      <c r="B3" s="94" t="s">
        <v>131</v>
      </c>
      <c r="C3" s="94" t="s">
        <v>151</v>
      </c>
      <c r="D3" s="94" t="s">
        <v>132</v>
      </c>
      <c r="E3" s="94" t="s">
        <v>133</v>
      </c>
      <c r="F3" s="94" t="s">
        <v>134</v>
      </c>
      <c r="G3" s="94" t="s">
        <v>135</v>
      </c>
      <c r="H3" s="94" t="s">
        <v>136</v>
      </c>
      <c r="I3" s="94" t="s">
        <v>137</v>
      </c>
      <c r="J3" s="95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3">
      <c r="A4" s="4"/>
      <c r="B4" s="25"/>
      <c r="C4" s="49"/>
      <c r="D4" s="49"/>
      <c r="E4" s="5">
        <f>+B4-D4-C4</f>
        <v>0</v>
      </c>
      <c r="F4" s="5"/>
      <c r="G4" s="46"/>
      <c r="H4" s="6">
        <f>G4</f>
        <v>0</v>
      </c>
      <c r="I4" s="7"/>
      <c r="J4" s="16"/>
      <c r="K4" s="17"/>
      <c r="L4" s="17"/>
      <c r="M4" s="17"/>
      <c r="N4" s="17"/>
      <c r="O4" s="17"/>
      <c r="P4" s="17"/>
      <c r="Q4" s="18"/>
      <c r="R4" s="17"/>
      <c r="S4" s="18"/>
      <c r="T4" s="17"/>
      <c r="U4" s="18"/>
      <c r="V4" s="17"/>
      <c r="W4" s="23">
        <f t="shared" ref="W4:W34" si="0">SUM(K4:V4)</f>
        <v>0</v>
      </c>
    </row>
    <row r="5" spans="1:23">
      <c r="A5" s="4"/>
      <c r="B5" s="25"/>
      <c r="C5" s="49"/>
      <c r="D5" s="49"/>
      <c r="E5" s="5">
        <f t="shared" ref="E5:E34" si="1">+B5-D5-C5</f>
        <v>0</v>
      </c>
      <c r="F5" s="5"/>
      <c r="G5" s="46"/>
      <c r="H5" s="6">
        <f>G5+H4</f>
        <v>0</v>
      </c>
      <c r="I5" s="7"/>
      <c r="J5" s="16"/>
      <c r="K5" s="17"/>
      <c r="L5" s="17"/>
      <c r="M5" s="17"/>
      <c r="N5" s="17"/>
      <c r="O5" s="17"/>
      <c r="P5" s="17"/>
      <c r="Q5" s="18"/>
      <c r="R5" s="17"/>
      <c r="S5" s="18"/>
      <c r="T5" s="17"/>
      <c r="U5" s="18"/>
      <c r="V5" s="17"/>
      <c r="W5" s="23">
        <f t="shared" si="0"/>
        <v>0</v>
      </c>
    </row>
    <row r="6" spans="1:23">
      <c r="A6" s="4"/>
      <c r="B6" s="25"/>
      <c r="C6" s="49"/>
      <c r="D6" s="49"/>
      <c r="E6" s="5">
        <f t="shared" si="1"/>
        <v>0</v>
      </c>
      <c r="F6" s="5"/>
      <c r="G6" s="46"/>
      <c r="H6" s="6">
        <f>G6+H5</f>
        <v>0</v>
      </c>
      <c r="I6" s="7"/>
      <c r="J6" s="16"/>
      <c r="K6" s="17"/>
      <c r="L6" s="17"/>
      <c r="M6" s="17"/>
      <c r="N6" s="17"/>
      <c r="O6" s="17"/>
      <c r="P6" s="17"/>
      <c r="Q6" s="18"/>
      <c r="R6" s="17"/>
      <c r="S6" s="18"/>
      <c r="T6" s="17"/>
      <c r="U6" s="18"/>
      <c r="V6" s="17"/>
      <c r="W6" s="23">
        <f t="shared" si="0"/>
        <v>0</v>
      </c>
    </row>
    <row r="7" spans="1:23">
      <c r="A7" s="4"/>
      <c r="B7" s="25"/>
      <c r="C7" s="49"/>
      <c r="D7" s="49"/>
      <c r="E7" s="5">
        <f t="shared" si="1"/>
        <v>0</v>
      </c>
      <c r="F7" s="5"/>
      <c r="G7" s="46"/>
      <c r="H7" s="6">
        <f t="shared" ref="H7:H34" si="2">G7+H6</f>
        <v>0</v>
      </c>
      <c r="I7" s="7"/>
      <c r="J7" s="16"/>
      <c r="K7" s="17"/>
      <c r="L7" s="17"/>
      <c r="M7" s="17"/>
      <c r="N7" s="17"/>
      <c r="O7" s="17"/>
      <c r="P7" s="17"/>
      <c r="Q7" s="18"/>
      <c r="R7" s="17"/>
      <c r="S7" s="18"/>
      <c r="T7" s="17"/>
      <c r="U7" s="18"/>
      <c r="V7" s="17"/>
      <c r="W7" s="23">
        <f t="shared" si="0"/>
        <v>0</v>
      </c>
    </row>
    <row r="8" spans="1:23">
      <c r="A8" s="4"/>
      <c r="B8" s="25"/>
      <c r="C8" s="49"/>
      <c r="D8" s="49"/>
      <c r="E8" s="5">
        <f t="shared" si="1"/>
        <v>0</v>
      </c>
      <c r="F8" s="5"/>
      <c r="G8" s="46"/>
      <c r="H8" s="6">
        <f t="shared" si="2"/>
        <v>0</v>
      </c>
      <c r="I8" s="7"/>
      <c r="J8" s="16"/>
      <c r="K8" s="17"/>
      <c r="L8" s="17"/>
      <c r="M8" s="17"/>
      <c r="N8" s="17"/>
      <c r="O8" s="17"/>
      <c r="P8" s="17"/>
      <c r="Q8" s="18"/>
      <c r="R8" s="17"/>
      <c r="S8" s="18"/>
      <c r="T8" s="17"/>
      <c r="U8" s="18"/>
      <c r="V8" s="17"/>
      <c r="W8" s="23">
        <f t="shared" si="0"/>
        <v>0</v>
      </c>
    </row>
    <row r="9" spans="1:23">
      <c r="A9" s="4"/>
      <c r="B9" s="25"/>
      <c r="C9" s="49"/>
      <c r="D9" s="49"/>
      <c r="E9" s="5">
        <f t="shared" si="1"/>
        <v>0</v>
      </c>
      <c r="F9" s="5"/>
      <c r="G9" s="46"/>
      <c r="H9" s="6">
        <f t="shared" si="2"/>
        <v>0</v>
      </c>
      <c r="I9" s="7"/>
      <c r="J9" s="16"/>
      <c r="K9" s="17"/>
      <c r="L9" s="17"/>
      <c r="M9" s="17"/>
      <c r="N9" s="17"/>
      <c r="O9" s="17"/>
      <c r="P9" s="17"/>
      <c r="Q9" s="18"/>
      <c r="R9" s="17"/>
      <c r="S9" s="18"/>
      <c r="T9" s="17"/>
      <c r="U9" s="18"/>
      <c r="V9" s="17"/>
      <c r="W9" s="23">
        <f t="shared" si="0"/>
        <v>0</v>
      </c>
    </row>
    <row r="10" spans="1:23">
      <c r="A10" s="4"/>
      <c r="B10" s="25"/>
      <c r="C10" s="49"/>
      <c r="D10" s="49"/>
      <c r="E10" s="5">
        <f t="shared" si="1"/>
        <v>0</v>
      </c>
      <c r="F10" s="5"/>
      <c r="G10" s="46"/>
      <c r="H10" s="6">
        <f t="shared" si="2"/>
        <v>0</v>
      </c>
      <c r="I10" s="7"/>
      <c r="J10" s="16"/>
      <c r="K10" s="17"/>
      <c r="L10" s="17"/>
      <c r="M10" s="17"/>
      <c r="N10" s="17"/>
      <c r="O10" s="17"/>
      <c r="P10" s="17"/>
      <c r="Q10" s="18"/>
      <c r="R10" s="17"/>
      <c r="S10" s="18"/>
      <c r="T10" s="17"/>
      <c r="U10" s="18"/>
      <c r="V10" s="17"/>
      <c r="W10" s="23">
        <f t="shared" si="0"/>
        <v>0</v>
      </c>
    </row>
    <row r="11" spans="1:23">
      <c r="A11" s="4"/>
      <c r="B11" s="26"/>
      <c r="C11" s="49"/>
      <c r="D11" s="49"/>
      <c r="E11" s="5">
        <f t="shared" si="1"/>
        <v>0</v>
      </c>
      <c r="F11" s="5"/>
      <c r="G11" s="46"/>
      <c r="H11" s="6">
        <f t="shared" si="2"/>
        <v>0</v>
      </c>
      <c r="I11" s="7"/>
      <c r="J11" s="16"/>
      <c r="K11" s="17"/>
      <c r="L11" s="17"/>
      <c r="M11" s="17"/>
      <c r="N11" s="17"/>
      <c r="O11" s="17"/>
      <c r="P11" s="17"/>
      <c r="Q11" s="18"/>
      <c r="R11" s="17"/>
      <c r="S11" s="18"/>
      <c r="T11" s="17"/>
      <c r="U11" s="18"/>
      <c r="V11" s="17"/>
      <c r="W11" s="23">
        <f t="shared" si="0"/>
        <v>0</v>
      </c>
    </row>
    <row r="12" spans="1:23">
      <c r="A12" s="4"/>
      <c r="B12" s="25"/>
      <c r="C12" s="49"/>
      <c r="D12" s="49"/>
      <c r="E12" s="5">
        <f t="shared" si="1"/>
        <v>0</v>
      </c>
      <c r="F12" s="5"/>
      <c r="G12" s="46"/>
      <c r="H12" s="6">
        <f t="shared" si="2"/>
        <v>0</v>
      </c>
      <c r="I12" s="7"/>
      <c r="J12" s="16"/>
      <c r="K12" s="17"/>
      <c r="L12" s="17"/>
      <c r="M12" s="17"/>
      <c r="N12" s="17"/>
      <c r="O12" s="17"/>
      <c r="P12" s="17"/>
      <c r="Q12" s="18"/>
      <c r="R12" s="17"/>
      <c r="S12" s="18"/>
      <c r="T12" s="17"/>
      <c r="U12" s="18"/>
      <c r="V12" s="17"/>
      <c r="W12" s="23">
        <f t="shared" si="0"/>
        <v>0</v>
      </c>
    </row>
    <row r="13" spans="1:23">
      <c r="A13" s="4"/>
      <c r="B13" s="9"/>
      <c r="C13" s="49"/>
      <c r="D13" s="49"/>
      <c r="E13" s="5">
        <f t="shared" si="1"/>
        <v>0</v>
      </c>
      <c r="F13" s="5"/>
      <c r="G13" s="46"/>
      <c r="H13" s="6">
        <f t="shared" si="2"/>
        <v>0</v>
      </c>
      <c r="I13" s="7"/>
      <c r="J13" s="16"/>
      <c r="K13" s="17"/>
      <c r="L13" s="17"/>
      <c r="M13" s="17"/>
      <c r="N13" s="17"/>
      <c r="O13" s="17"/>
      <c r="P13" s="17"/>
      <c r="Q13" s="18"/>
      <c r="R13" s="17"/>
      <c r="S13" s="18"/>
      <c r="T13" s="17"/>
      <c r="U13" s="18"/>
      <c r="V13" s="17"/>
      <c r="W13" s="23">
        <f t="shared" si="0"/>
        <v>0</v>
      </c>
    </row>
    <row r="14" spans="1:23">
      <c r="A14" s="4"/>
      <c r="B14" s="9"/>
      <c r="C14" s="49"/>
      <c r="D14" s="49"/>
      <c r="E14" s="5">
        <f t="shared" si="1"/>
        <v>0</v>
      </c>
      <c r="F14" s="5"/>
      <c r="G14" s="46"/>
      <c r="H14" s="6">
        <f t="shared" si="2"/>
        <v>0</v>
      </c>
      <c r="I14" s="7"/>
      <c r="J14" s="16"/>
      <c r="K14" s="17"/>
      <c r="L14" s="17"/>
      <c r="M14" s="17"/>
      <c r="N14" s="17"/>
      <c r="O14" s="17"/>
      <c r="P14" s="17"/>
      <c r="Q14" s="18"/>
      <c r="R14" s="17"/>
      <c r="S14" s="18"/>
      <c r="T14" s="17"/>
      <c r="U14" s="18"/>
      <c r="V14" s="17"/>
      <c r="W14" s="23">
        <f t="shared" si="0"/>
        <v>0</v>
      </c>
    </row>
    <row r="15" spans="1:23">
      <c r="A15" s="4"/>
      <c r="B15" s="10"/>
      <c r="C15" s="49"/>
      <c r="D15" s="49"/>
      <c r="E15" s="5">
        <f t="shared" si="1"/>
        <v>0</v>
      </c>
      <c r="F15" s="5"/>
      <c r="G15" s="46"/>
      <c r="H15" s="6">
        <f t="shared" si="2"/>
        <v>0</v>
      </c>
      <c r="I15" s="7"/>
      <c r="J15" s="16"/>
      <c r="K15" s="17"/>
      <c r="L15" s="17"/>
      <c r="M15" s="17"/>
      <c r="N15" s="17"/>
      <c r="O15" s="17"/>
      <c r="P15" s="17"/>
      <c r="Q15" s="18"/>
      <c r="R15" s="17"/>
      <c r="S15" s="18"/>
      <c r="T15" s="17"/>
      <c r="U15" s="18"/>
      <c r="V15" s="17"/>
      <c r="W15" s="23">
        <f t="shared" si="0"/>
        <v>0</v>
      </c>
    </row>
    <row r="16" spans="1:23">
      <c r="A16" s="4"/>
      <c r="B16" s="25"/>
      <c r="C16" s="49"/>
      <c r="D16" s="49"/>
      <c r="E16" s="5">
        <f t="shared" si="1"/>
        <v>0</v>
      </c>
      <c r="F16" s="5"/>
      <c r="G16" s="46"/>
      <c r="H16" s="6">
        <f t="shared" si="2"/>
        <v>0</v>
      </c>
      <c r="I16" s="7"/>
      <c r="J16" s="16"/>
      <c r="K16" s="17"/>
      <c r="L16" s="17"/>
      <c r="M16" s="17"/>
      <c r="N16" s="17"/>
      <c r="O16" s="17"/>
      <c r="P16" s="17"/>
      <c r="Q16" s="18"/>
      <c r="R16" s="17"/>
      <c r="S16" s="18"/>
      <c r="T16" s="17"/>
      <c r="U16" s="18"/>
      <c r="V16" s="17"/>
      <c r="W16" s="23">
        <f t="shared" si="0"/>
        <v>0</v>
      </c>
    </row>
    <row r="17" spans="1:23">
      <c r="A17" s="4"/>
      <c r="B17" s="25"/>
      <c r="C17" s="49"/>
      <c r="D17" s="49"/>
      <c r="E17" s="5">
        <f t="shared" si="1"/>
        <v>0</v>
      </c>
      <c r="F17" s="5"/>
      <c r="G17" s="46"/>
      <c r="H17" s="6">
        <f t="shared" si="2"/>
        <v>0</v>
      </c>
      <c r="I17" s="7"/>
      <c r="J17" s="16"/>
      <c r="K17" s="17"/>
      <c r="L17" s="17"/>
      <c r="M17" s="17"/>
      <c r="N17" s="17"/>
      <c r="O17" s="17"/>
      <c r="P17" s="17"/>
      <c r="Q17" s="18"/>
      <c r="R17" s="17"/>
      <c r="S17" s="18"/>
      <c r="T17" s="17"/>
      <c r="U17" s="18"/>
      <c r="V17" s="17"/>
      <c r="W17" s="23">
        <f t="shared" si="0"/>
        <v>0</v>
      </c>
    </row>
    <row r="18" spans="1:23">
      <c r="A18" s="4"/>
      <c r="B18" s="25"/>
      <c r="C18" s="49"/>
      <c r="D18" s="49"/>
      <c r="E18" s="5">
        <f t="shared" si="1"/>
        <v>0</v>
      </c>
      <c r="F18" s="5"/>
      <c r="G18" s="46"/>
      <c r="H18" s="6">
        <f t="shared" si="2"/>
        <v>0</v>
      </c>
      <c r="I18" s="7"/>
      <c r="J18" s="16"/>
      <c r="K18" s="17"/>
      <c r="L18" s="17"/>
      <c r="M18" s="17"/>
      <c r="N18" s="17"/>
      <c r="O18" s="17"/>
      <c r="P18" s="17"/>
      <c r="Q18" s="18"/>
      <c r="R18" s="17"/>
      <c r="S18" s="18"/>
      <c r="T18" s="17"/>
      <c r="U18" s="18"/>
      <c r="V18" s="17"/>
      <c r="W18" s="23">
        <f t="shared" si="0"/>
        <v>0</v>
      </c>
    </row>
    <row r="19" spans="1:23">
      <c r="A19" s="4"/>
      <c r="B19" s="25"/>
      <c r="C19" s="49"/>
      <c r="D19" s="49"/>
      <c r="E19" s="5">
        <f t="shared" si="1"/>
        <v>0</v>
      </c>
      <c r="F19" s="5"/>
      <c r="G19" s="46"/>
      <c r="H19" s="6">
        <f t="shared" si="2"/>
        <v>0</v>
      </c>
      <c r="I19" s="7"/>
      <c r="J19" s="16"/>
      <c r="K19" s="17"/>
      <c r="L19" s="17"/>
      <c r="M19" s="17"/>
      <c r="N19" s="17"/>
      <c r="O19" s="17"/>
      <c r="P19" s="17"/>
      <c r="Q19" s="18"/>
      <c r="R19" s="17"/>
      <c r="S19" s="18"/>
      <c r="T19" s="17"/>
      <c r="U19" s="18"/>
      <c r="V19" s="17"/>
      <c r="W19" s="23">
        <f t="shared" si="0"/>
        <v>0</v>
      </c>
    </row>
    <row r="20" spans="1:23">
      <c r="A20" s="4"/>
      <c r="B20" s="25"/>
      <c r="C20" s="49"/>
      <c r="D20" s="49"/>
      <c r="E20" s="5">
        <f t="shared" si="1"/>
        <v>0</v>
      </c>
      <c r="F20" s="5"/>
      <c r="G20" s="46"/>
      <c r="H20" s="6">
        <f t="shared" si="2"/>
        <v>0</v>
      </c>
      <c r="I20" s="7"/>
      <c r="J20" s="16"/>
      <c r="K20" s="17"/>
      <c r="L20" s="17"/>
      <c r="M20" s="17"/>
      <c r="N20" s="17"/>
      <c r="O20" s="17"/>
      <c r="P20" s="17"/>
      <c r="Q20" s="18"/>
      <c r="R20" s="17"/>
      <c r="S20" s="18"/>
      <c r="T20" s="17"/>
      <c r="U20" s="18"/>
      <c r="V20" s="17"/>
      <c r="W20" s="23">
        <f t="shared" si="0"/>
        <v>0</v>
      </c>
    </row>
    <row r="21" spans="1:23">
      <c r="A21" s="4"/>
      <c r="B21" s="50"/>
      <c r="C21" s="49"/>
      <c r="D21" s="49"/>
      <c r="E21" s="5">
        <f t="shared" si="1"/>
        <v>0</v>
      </c>
      <c r="F21" s="5"/>
      <c r="G21" s="47"/>
      <c r="H21" s="6">
        <f t="shared" si="2"/>
        <v>0</v>
      </c>
      <c r="I21" s="7"/>
      <c r="J21" s="16"/>
      <c r="K21" s="17"/>
      <c r="L21" s="17"/>
      <c r="M21" s="17"/>
      <c r="N21" s="17"/>
      <c r="O21" s="17"/>
      <c r="P21" s="17"/>
      <c r="Q21" s="18"/>
      <c r="R21" s="17"/>
      <c r="S21" s="18"/>
      <c r="T21" s="17"/>
      <c r="U21" s="18"/>
      <c r="V21" s="17"/>
      <c r="W21" s="23">
        <f t="shared" si="0"/>
        <v>0</v>
      </c>
    </row>
    <row r="22" spans="1:23">
      <c r="A22" s="4"/>
      <c r="B22" s="25"/>
      <c r="C22" s="49"/>
      <c r="D22" s="49"/>
      <c r="E22" s="5">
        <f t="shared" si="1"/>
        <v>0</v>
      </c>
      <c r="F22" s="5"/>
      <c r="G22" s="46"/>
      <c r="H22" s="6">
        <f t="shared" si="2"/>
        <v>0</v>
      </c>
      <c r="I22" s="7"/>
      <c r="J22" s="16"/>
      <c r="K22" s="17"/>
      <c r="L22" s="17"/>
      <c r="M22" s="17"/>
      <c r="N22" s="17"/>
      <c r="O22" s="17"/>
      <c r="P22" s="17"/>
      <c r="Q22" s="18"/>
      <c r="R22" s="17"/>
      <c r="S22" s="18"/>
      <c r="T22" s="17"/>
      <c r="U22" s="18"/>
      <c r="V22" s="17"/>
      <c r="W22" s="23">
        <f t="shared" si="0"/>
        <v>0</v>
      </c>
    </row>
    <row r="23" spans="1:23">
      <c r="A23" s="4"/>
      <c r="B23" s="25"/>
      <c r="C23" s="49"/>
      <c r="D23" s="49"/>
      <c r="E23" s="5">
        <f t="shared" si="1"/>
        <v>0</v>
      </c>
      <c r="F23" s="5"/>
      <c r="G23" s="46"/>
      <c r="H23" s="6">
        <f t="shared" si="2"/>
        <v>0</v>
      </c>
      <c r="I23" s="7"/>
      <c r="J23" s="16"/>
      <c r="K23" s="17"/>
      <c r="L23" s="17"/>
      <c r="M23" s="17"/>
      <c r="N23" s="17"/>
      <c r="O23" s="17"/>
      <c r="P23" s="17"/>
      <c r="Q23" s="18"/>
      <c r="R23" s="17"/>
      <c r="S23" s="18"/>
      <c r="T23" s="17"/>
      <c r="U23" s="18"/>
      <c r="V23" s="17"/>
      <c r="W23" s="23">
        <f t="shared" si="0"/>
        <v>0</v>
      </c>
    </row>
    <row r="24" spans="1:23">
      <c r="A24" s="4"/>
      <c r="B24" s="25"/>
      <c r="C24" s="49"/>
      <c r="D24" s="49"/>
      <c r="E24" s="5">
        <f t="shared" si="1"/>
        <v>0</v>
      </c>
      <c r="F24" s="5"/>
      <c r="G24" s="46"/>
      <c r="H24" s="6">
        <f t="shared" si="2"/>
        <v>0</v>
      </c>
      <c r="I24" s="7"/>
      <c r="J24" s="16"/>
      <c r="K24" s="17"/>
      <c r="L24" s="17"/>
      <c r="M24" s="17"/>
      <c r="N24" s="17"/>
      <c r="O24" s="17"/>
      <c r="P24" s="17"/>
      <c r="Q24" s="18"/>
      <c r="R24" s="17"/>
      <c r="S24" s="18"/>
      <c r="T24" s="17"/>
      <c r="U24" s="18"/>
      <c r="V24" s="17"/>
      <c r="W24" s="23">
        <f t="shared" si="0"/>
        <v>0</v>
      </c>
    </row>
    <row r="25" spans="1:23">
      <c r="A25" s="4"/>
      <c r="B25" s="25"/>
      <c r="C25" s="49"/>
      <c r="D25" s="49"/>
      <c r="E25" s="5">
        <f t="shared" si="1"/>
        <v>0</v>
      </c>
      <c r="F25" s="5"/>
      <c r="G25" s="46"/>
      <c r="H25" s="6">
        <f t="shared" si="2"/>
        <v>0</v>
      </c>
      <c r="I25" s="7"/>
      <c r="J25" s="16"/>
      <c r="K25" s="17"/>
      <c r="L25" s="17"/>
      <c r="M25" s="17"/>
      <c r="N25" s="17"/>
      <c r="O25" s="17"/>
      <c r="P25" s="17"/>
      <c r="Q25" s="18"/>
      <c r="R25" s="17"/>
      <c r="S25" s="18"/>
      <c r="T25" s="17"/>
      <c r="U25" s="18"/>
      <c r="V25" s="17"/>
      <c r="W25" s="23">
        <f t="shared" si="0"/>
        <v>0</v>
      </c>
    </row>
    <row r="26" spans="1:23">
      <c r="A26" s="4"/>
      <c r="B26" s="25"/>
      <c r="C26" s="49"/>
      <c r="D26" s="49"/>
      <c r="E26" s="5">
        <f t="shared" si="1"/>
        <v>0</v>
      </c>
      <c r="F26" s="5"/>
      <c r="G26" s="48"/>
      <c r="H26" s="6">
        <f t="shared" si="2"/>
        <v>0</v>
      </c>
      <c r="I26" s="7"/>
      <c r="J26" s="16"/>
      <c r="K26" s="17"/>
      <c r="L26" s="17"/>
      <c r="M26" s="17"/>
      <c r="N26" s="17"/>
      <c r="O26" s="17"/>
      <c r="P26" s="17"/>
      <c r="Q26" s="18"/>
      <c r="R26" s="17"/>
      <c r="S26" s="18"/>
      <c r="T26" s="17"/>
      <c r="U26" s="18"/>
      <c r="V26" s="17"/>
      <c r="W26" s="23">
        <f t="shared" si="0"/>
        <v>0</v>
      </c>
    </row>
    <row r="27" spans="1:23">
      <c r="A27" s="4"/>
      <c r="B27" s="25"/>
      <c r="C27" s="49"/>
      <c r="D27" s="49"/>
      <c r="E27" s="5">
        <f t="shared" si="1"/>
        <v>0</v>
      </c>
      <c r="F27" s="5"/>
      <c r="G27" s="46"/>
      <c r="H27" s="6">
        <f t="shared" si="2"/>
        <v>0</v>
      </c>
      <c r="I27" s="7"/>
      <c r="J27" s="16"/>
      <c r="K27" s="17"/>
      <c r="L27" s="17"/>
      <c r="M27" s="17"/>
      <c r="N27" s="17"/>
      <c r="O27" s="17"/>
      <c r="P27" s="17"/>
      <c r="Q27" s="18"/>
      <c r="R27" s="17"/>
      <c r="S27" s="18"/>
      <c r="T27" s="17"/>
      <c r="U27" s="18"/>
      <c r="V27" s="17"/>
      <c r="W27" s="23">
        <f t="shared" si="0"/>
        <v>0</v>
      </c>
    </row>
    <row r="28" spans="1:23">
      <c r="A28" s="4"/>
      <c r="B28" s="25"/>
      <c r="C28" s="49"/>
      <c r="D28" s="49"/>
      <c r="E28" s="5">
        <f t="shared" si="1"/>
        <v>0</v>
      </c>
      <c r="F28" s="5"/>
      <c r="G28" s="46"/>
      <c r="H28" s="6">
        <f t="shared" si="2"/>
        <v>0</v>
      </c>
      <c r="I28" s="7"/>
      <c r="J28" s="16"/>
      <c r="K28" s="17"/>
      <c r="L28" s="17"/>
      <c r="M28" s="17"/>
      <c r="N28" s="17"/>
      <c r="O28" s="17"/>
      <c r="P28" s="17"/>
      <c r="Q28" s="18"/>
      <c r="R28" s="17"/>
      <c r="S28" s="18"/>
      <c r="T28" s="17"/>
      <c r="U28" s="18"/>
      <c r="V28" s="17"/>
      <c r="W28" s="23">
        <f t="shared" si="0"/>
        <v>0</v>
      </c>
    </row>
    <row r="29" spans="1:23">
      <c r="A29" s="4"/>
      <c r="B29" s="25"/>
      <c r="C29" s="49"/>
      <c r="D29" s="49"/>
      <c r="E29" s="5">
        <f t="shared" si="1"/>
        <v>0</v>
      </c>
      <c r="F29" s="5"/>
      <c r="G29" s="46"/>
      <c r="H29" s="6">
        <f t="shared" si="2"/>
        <v>0</v>
      </c>
      <c r="I29" s="7"/>
      <c r="J29" s="16"/>
      <c r="K29" s="17"/>
      <c r="L29" s="17"/>
      <c r="M29" s="17"/>
      <c r="N29" s="17"/>
      <c r="O29" s="17"/>
      <c r="P29" s="17"/>
      <c r="Q29" s="18"/>
      <c r="R29" s="17"/>
      <c r="S29" s="18"/>
      <c r="T29" s="17"/>
      <c r="U29" s="18"/>
      <c r="V29" s="17"/>
      <c r="W29" s="23">
        <f t="shared" si="0"/>
        <v>0</v>
      </c>
    </row>
    <row r="30" spans="1:23">
      <c r="A30" s="4"/>
      <c r="B30" s="25"/>
      <c r="C30" s="49"/>
      <c r="D30" s="49"/>
      <c r="E30" s="5">
        <f t="shared" si="1"/>
        <v>0</v>
      </c>
      <c r="F30" s="5"/>
      <c r="G30" s="46"/>
      <c r="H30" s="6">
        <f t="shared" si="2"/>
        <v>0</v>
      </c>
      <c r="I30" s="7"/>
      <c r="J30" s="16"/>
      <c r="K30" s="17"/>
      <c r="L30" s="17"/>
      <c r="M30" s="17"/>
      <c r="N30" s="17"/>
      <c r="O30" s="17"/>
      <c r="P30" s="17"/>
      <c r="Q30" s="18"/>
      <c r="R30" s="17"/>
      <c r="S30" s="18"/>
      <c r="T30" s="17"/>
      <c r="U30" s="18"/>
      <c r="V30" s="17"/>
      <c r="W30" s="23">
        <f t="shared" si="0"/>
        <v>0</v>
      </c>
    </row>
    <row r="31" spans="1:23">
      <c r="A31" s="4"/>
      <c r="B31" s="25"/>
      <c r="C31" s="49"/>
      <c r="D31" s="49"/>
      <c r="E31" s="5">
        <f t="shared" si="1"/>
        <v>0</v>
      </c>
      <c r="F31" s="5"/>
      <c r="G31" s="46"/>
      <c r="H31" s="6">
        <f>G31+H30</f>
        <v>0</v>
      </c>
      <c r="I31" s="7"/>
      <c r="J31" s="16"/>
      <c r="K31" s="17"/>
      <c r="L31" s="17"/>
      <c r="M31" s="17"/>
      <c r="N31" s="17"/>
      <c r="O31" s="17"/>
      <c r="P31" s="17"/>
      <c r="Q31" s="18"/>
      <c r="R31" s="17"/>
      <c r="S31" s="18"/>
      <c r="T31" s="17"/>
      <c r="U31" s="18"/>
      <c r="V31" s="17"/>
      <c r="W31" s="23">
        <f t="shared" si="0"/>
        <v>0</v>
      </c>
    </row>
    <row r="32" spans="1:23">
      <c r="A32" s="4"/>
      <c r="B32" s="25"/>
      <c r="C32" s="49"/>
      <c r="D32" s="49"/>
      <c r="E32" s="5">
        <f t="shared" si="1"/>
        <v>0</v>
      </c>
      <c r="F32" s="5"/>
      <c r="G32" s="46"/>
      <c r="H32" s="6">
        <f t="shared" si="2"/>
        <v>0</v>
      </c>
      <c r="I32" s="7"/>
      <c r="J32" s="16"/>
      <c r="K32" s="17"/>
      <c r="L32" s="17"/>
      <c r="M32" s="17"/>
      <c r="N32" s="17"/>
      <c r="O32" s="17"/>
      <c r="P32" s="17"/>
      <c r="Q32" s="18"/>
      <c r="R32" s="17"/>
      <c r="S32" s="18"/>
      <c r="T32" s="17"/>
      <c r="U32" s="18"/>
      <c r="V32" s="17"/>
      <c r="W32" s="23">
        <f t="shared" si="0"/>
        <v>0</v>
      </c>
    </row>
    <row r="33" spans="1:23">
      <c r="A33" s="4"/>
      <c r="B33" s="8"/>
      <c r="C33" s="49"/>
      <c r="D33" s="49"/>
      <c r="E33" s="5">
        <f t="shared" si="1"/>
        <v>0</v>
      </c>
      <c r="F33" s="5"/>
      <c r="G33" s="46"/>
      <c r="H33" s="6">
        <f t="shared" si="2"/>
        <v>0</v>
      </c>
      <c r="I33" s="7"/>
      <c r="J33" s="16"/>
      <c r="K33" s="17"/>
      <c r="L33" s="17"/>
      <c r="M33" s="17"/>
      <c r="N33" s="17"/>
      <c r="O33" s="17"/>
      <c r="P33" s="17"/>
      <c r="Q33" s="18"/>
      <c r="R33" s="17"/>
      <c r="S33" s="18"/>
      <c r="T33" s="17"/>
      <c r="U33" s="18"/>
      <c r="V33" s="17"/>
      <c r="W33" s="23">
        <f t="shared" si="0"/>
        <v>0</v>
      </c>
    </row>
    <row r="34" spans="1:23">
      <c r="A34" s="4"/>
      <c r="B34" s="92"/>
      <c r="C34" s="49"/>
      <c r="D34" s="49"/>
      <c r="E34" s="5">
        <f t="shared" si="1"/>
        <v>0</v>
      </c>
      <c r="F34" s="5"/>
      <c r="G34" s="46"/>
      <c r="H34" s="6">
        <f t="shared" si="2"/>
        <v>0</v>
      </c>
      <c r="I34" s="7"/>
      <c r="J34" s="16"/>
      <c r="K34" s="17"/>
      <c r="L34" s="17"/>
      <c r="M34" s="17"/>
      <c r="N34" s="17"/>
      <c r="O34" s="17"/>
      <c r="P34" s="17"/>
      <c r="Q34" s="18"/>
      <c r="R34" s="17"/>
      <c r="S34" s="18"/>
      <c r="T34" s="17"/>
      <c r="U34" s="18"/>
      <c r="V34" s="17"/>
      <c r="W34" s="23">
        <f t="shared" si="0"/>
        <v>0</v>
      </c>
    </row>
    <row r="35" spans="1:23">
      <c r="A35" s="91" t="s">
        <v>150</v>
      </c>
      <c r="B35" s="93">
        <f>SUM(B4:B34)</f>
        <v>0</v>
      </c>
      <c r="C35" s="93">
        <f t="shared" ref="C35:G35" si="3">SUM(C4:C34)</f>
        <v>0</v>
      </c>
      <c r="D35" s="93">
        <f t="shared" si="3"/>
        <v>0</v>
      </c>
      <c r="E35" s="93">
        <f t="shared" si="3"/>
        <v>0</v>
      </c>
      <c r="F35" s="93">
        <f>F34</f>
        <v>0</v>
      </c>
      <c r="G35" s="93">
        <f t="shared" si="3"/>
        <v>0</v>
      </c>
      <c r="H35" s="97">
        <f>H34</f>
        <v>0</v>
      </c>
      <c r="I35" s="12">
        <f>SUM(I4:I34)</f>
        <v>0</v>
      </c>
      <c r="J35" s="12">
        <f>J34</f>
        <v>0</v>
      </c>
      <c r="K35" s="19">
        <f t="shared" ref="K35:W35" si="4">SUM(K4:K34)</f>
        <v>0</v>
      </c>
      <c r="L35" s="19">
        <f t="shared" si="4"/>
        <v>0</v>
      </c>
      <c r="M35" s="19">
        <f t="shared" si="4"/>
        <v>0</v>
      </c>
      <c r="N35" s="19">
        <f t="shared" si="4"/>
        <v>0</v>
      </c>
      <c r="O35" s="19">
        <f t="shared" si="4"/>
        <v>0</v>
      </c>
      <c r="P35" s="19">
        <f t="shared" si="4"/>
        <v>0</v>
      </c>
      <c r="Q35" s="19">
        <f t="shared" si="4"/>
        <v>0</v>
      </c>
      <c r="R35" s="19">
        <f t="shared" si="4"/>
        <v>0</v>
      </c>
      <c r="S35" s="19">
        <f t="shared" si="4"/>
        <v>0</v>
      </c>
      <c r="T35" s="19">
        <f t="shared" si="4"/>
        <v>0</v>
      </c>
      <c r="U35" s="19">
        <f t="shared" si="4"/>
        <v>0</v>
      </c>
      <c r="V35" s="19">
        <f t="shared" si="4"/>
        <v>0</v>
      </c>
      <c r="W35" s="19">
        <f t="shared" si="4"/>
        <v>0</v>
      </c>
    </row>
  </sheetData>
  <mergeCells count="2">
    <mergeCell ref="A1:I1"/>
    <mergeCell ref="J1:W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F23" sqref="F23"/>
    </sheetView>
  </sheetViews>
  <sheetFormatPr defaultColWidth="9.140625" defaultRowHeight="12.75"/>
  <cols>
    <col min="1" max="1" width="22.42578125" customWidth="1"/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2.85546875" customWidth="1"/>
    <col min="10" max="10" width="14" customWidth="1"/>
    <col min="11" max="11" width="13" customWidth="1"/>
  </cols>
  <sheetData>
    <row r="1" spans="1:23" ht="30.95" customHeight="1">
      <c r="A1" s="203"/>
      <c r="B1" s="203"/>
      <c r="C1" s="203"/>
      <c r="D1" s="203"/>
      <c r="E1" s="203"/>
      <c r="F1" s="203"/>
      <c r="G1" s="203"/>
      <c r="H1" s="203"/>
      <c r="I1" s="203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23" ht="51">
      <c r="A3" s="94" t="s">
        <v>130</v>
      </c>
      <c r="B3" s="94" t="s">
        <v>131</v>
      </c>
      <c r="C3" s="94" t="s">
        <v>151</v>
      </c>
      <c r="D3" s="94" t="s">
        <v>132</v>
      </c>
      <c r="E3" s="94" t="s">
        <v>133</v>
      </c>
      <c r="F3" s="94" t="s">
        <v>134</v>
      </c>
      <c r="G3" s="94" t="s">
        <v>135</v>
      </c>
      <c r="H3" s="94" t="s">
        <v>136</v>
      </c>
      <c r="I3" s="94" t="s">
        <v>137</v>
      </c>
      <c r="J3" s="95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3">
      <c r="A4" s="4"/>
      <c r="B4" s="25"/>
      <c r="C4" s="49"/>
      <c r="D4" s="49"/>
      <c r="E4" s="5">
        <f>+B4-D4-C4</f>
        <v>0</v>
      </c>
      <c r="F4" s="5"/>
      <c r="G4" s="46"/>
      <c r="H4" s="6">
        <f>G4</f>
        <v>0</v>
      </c>
      <c r="I4" s="7"/>
      <c r="J4" s="16"/>
      <c r="K4" s="17"/>
      <c r="L4" s="17"/>
      <c r="M4" s="17"/>
      <c r="N4" s="17"/>
      <c r="O4" s="17"/>
      <c r="P4" s="17"/>
      <c r="Q4" s="18"/>
      <c r="R4" s="17"/>
      <c r="S4" s="18"/>
      <c r="T4" s="17"/>
      <c r="U4" s="18"/>
      <c r="V4" s="17"/>
      <c r="W4" s="23">
        <f t="shared" ref="W4:W34" si="0">SUM(K4:V4)</f>
        <v>0</v>
      </c>
    </row>
    <row r="5" spans="1:23">
      <c r="A5" s="4"/>
      <c r="B5" s="25"/>
      <c r="C5" s="49"/>
      <c r="D5" s="49"/>
      <c r="E5" s="5">
        <f t="shared" ref="E5:E34" si="1">+B5-D5-C5</f>
        <v>0</v>
      </c>
      <c r="F5" s="5"/>
      <c r="G5" s="46"/>
      <c r="H5" s="6">
        <f>G5+H4</f>
        <v>0</v>
      </c>
      <c r="I5" s="7"/>
      <c r="J5" s="16"/>
      <c r="K5" s="17"/>
      <c r="L5" s="17"/>
      <c r="M5" s="17"/>
      <c r="N5" s="17"/>
      <c r="O5" s="17"/>
      <c r="P5" s="17"/>
      <c r="Q5" s="18"/>
      <c r="R5" s="17"/>
      <c r="S5" s="18"/>
      <c r="T5" s="17"/>
      <c r="U5" s="18"/>
      <c r="V5" s="17"/>
      <c r="W5" s="23">
        <f t="shared" si="0"/>
        <v>0</v>
      </c>
    </row>
    <row r="6" spans="1:23">
      <c r="A6" s="4"/>
      <c r="B6" s="25"/>
      <c r="C6" s="49"/>
      <c r="D6" s="49"/>
      <c r="E6" s="5">
        <f t="shared" si="1"/>
        <v>0</v>
      </c>
      <c r="F6" s="5"/>
      <c r="G6" s="46"/>
      <c r="H6" s="6">
        <f>G6+H5</f>
        <v>0</v>
      </c>
      <c r="I6" s="7"/>
      <c r="J6" s="16"/>
      <c r="K6" s="17"/>
      <c r="L6" s="17"/>
      <c r="M6" s="17"/>
      <c r="N6" s="17"/>
      <c r="O6" s="17"/>
      <c r="P6" s="17"/>
      <c r="Q6" s="18"/>
      <c r="R6" s="17"/>
      <c r="S6" s="18"/>
      <c r="T6" s="17"/>
      <c r="U6" s="18"/>
      <c r="V6" s="17"/>
      <c r="W6" s="23">
        <f t="shared" si="0"/>
        <v>0</v>
      </c>
    </row>
    <row r="7" spans="1:23">
      <c r="A7" s="4"/>
      <c r="B7" s="25"/>
      <c r="C7" s="49"/>
      <c r="D7" s="49"/>
      <c r="E7" s="5">
        <f t="shared" si="1"/>
        <v>0</v>
      </c>
      <c r="F7" s="5"/>
      <c r="G7" s="46"/>
      <c r="H7" s="6">
        <f t="shared" ref="H7:H34" si="2">G7+H6</f>
        <v>0</v>
      </c>
      <c r="I7" s="7"/>
      <c r="J7" s="16"/>
      <c r="K7" s="17"/>
      <c r="L7" s="17"/>
      <c r="M7" s="17"/>
      <c r="N7" s="17"/>
      <c r="O7" s="17"/>
      <c r="P7" s="17"/>
      <c r="Q7" s="18"/>
      <c r="R7" s="17"/>
      <c r="S7" s="18"/>
      <c r="T7" s="17"/>
      <c r="U7" s="18"/>
      <c r="V7" s="17"/>
      <c r="W7" s="23">
        <f t="shared" si="0"/>
        <v>0</v>
      </c>
    </row>
    <row r="8" spans="1:23">
      <c r="A8" s="4"/>
      <c r="B8" s="25"/>
      <c r="C8" s="49"/>
      <c r="D8" s="49"/>
      <c r="E8" s="5">
        <f t="shared" si="1"/>
        <v>0</v>
      </c>
      <c r="F8" s="5"/>
      <c r="G8" s="46"/>
      <c r="H8" s="6">
        <f t="shared" si="2"/>
        <v>0</v>
      </c>
      <c r="I8" s="7"/>
      <c r="J8" s="16"/>
      <c r="K8" s="17"/>
      <c r="L8" s="17"/>
      <c r="M8" s="17"/>
      <c r="N8" s="17"/>
      <c r="O8" s="17"/>
      <c r="P8" s="17"/>
      <c r="Q8" s="18"/>
      <c r="R8" s="17"/>
      <c r="S8" s="18"/>
      <c r="T8" s="17"/>
      <c r="U8" s="18"/>
      <c r="V8" s="17"/>
      <c r="W8" s="23">
        <f t="shared" si="0"/>
        <v>0</v>
      </c>
    </row>
    <row r="9" spans="1:23">
      <c r="A9" s="4"/>
      <c r="B9" s="25"/>
      <c r="C9" s="49"/>
      <c r="D9" s="49"/>
      <c r="E9" s="5">
        <f t="shared" si="1"/>
        <v>0</v>
      </c>
      <c r="F9" s="5"/>
      <c r="G9" s="46"/>
      <c r="H9" s="6">
        <f t="shared" si="2"/>
        <v>0</v>
      </c>
      <c r="I9" s="7"/>
      <c r="J9" s="16"/>
      <c r="K9" s="17"/>
      <c r="L9" s="17"/>
      <c r="M9" s="17"/>
      <c r="N9" s="17"/>
      <c r="O9" s="17"/>
      <c r="P9" s="17"/>
      <c r="Q9" s="18"/>
      <c r="R9" s="17"/>
      <c r="S9" s="18"/>
      <c r="T9" s="17"/>
      <c r="U9" s="18"/>
      <c r="V9" s="17"/>
      <c r="W9" s="23">
        <f t="shared" si="0"/>
        <v>0</v>
      </c>
    </row>
    <row r="10" spans="1:23">
      <c r="A10" s="4"/>
      <c r="B10" s="25"/>
      <c r="C10" s="49"/>
      <c r="D10" s="49"/>
      <c r="E10" s="5">
        <f t="shared" si="1"/>
        <v>0</v>
      </c>
      <c r="F10" s="5"/>
      <c r="G10" s="46"/>
      <c r="H10" s="6">
        <f t="shared" si="2"/>
        <v>0</v>
      </c>
      <c r="I10" s="7"/>
      <c r="J10" s="16"/>
      <c r="K10" s="17"/>
      <c r="L10" s="17"/>
      <c r="M10" s="17"/>
      <c r="N10" s="17"/>
      <c r="O10" s="17"/>
      <c r="P10" s="17"/>
      <c r="Q10" s="18"/>
      <c r="R10" s="17"/>
      <c r="S10" s="18"/>
      <c r="T10" s="17"/>
      <c r="U10" s="18"/>
      <c r="V10" s="17"/>
      <c r="W10" s="23">
        <f t="shared" si="0"/>
        <v>0</v>
      </c>
    </row>
    <row r="11" spans="1:23">
      <c r="A11" s="4"/>
      <c r="B11" s="26"/>
      <c r="C11" s="49"/>
      <c r="D11" s="49"/>
      <c r="E11" s="5">
        <f t="shared" si="1"/>
        <v>0</v>
      </c>
      <c r="F11" s="5"/>
      <c r="G11" s="46"/>
      <c r="H11" s="6">
        <f t="shared" si="2"/>
        <v>0</v>
      </c>
      <c r="I11" s="7"/>
      <c r="J11" s="16"/>
      <c r="K11" s="17"/>
      <c r="L11" s="17"/>
      <c r="M11" s="17"/>
      <c r="N11" s="17"/>
      <c r="O11" s="17"/>
      <c r="P11" s="17"/>
      <c r="Q11" s="18"/>
      <c r="R11" s="17"/>
      <c r="S11" s="18"/>
      <c r="T11" s="17"/>
      <c r="U11" s="18"/>
      <c r="V11" s="17"/>
      <c r="W11" s="23">
        <f t="shared" si="0"/>
        <v>0</v>
      </c>
    </row>
    <row r="12" spans="1:23">
      <c r="A12" s="4"/>
      <c r="B12" s="25"/>
      <c r="C12" s="49"/>
      <c r="D12" s="49"/>
      <c r="E12" s="5">
        <f t="shared" si="1"/>
        <v>0</v>
      </c>
      <c r="F12" s="5"/>
      <c r="G12" s="46"/>
      <c r="H12" s="6">
        <f t="shared" si="2"/>
        <v>0</v>
      </c>
      <c r="I12" s="7"/>
      <c r="J12" s="16"/>
      <c r="K12" s="17"/>
      <c r="L12" s="17"/>
      <c r="M12" s="17"/>
      <c r="N12" s="17"/>
      <c r="O12" s="17"/>
      <c r="P12" s="17"/>
      <c r="Q12" s="18"/>
      <c r="R12" s="17"/>
      <c r="S12" s="18"/>
      <c r="T12" s="17"/>
      <c r="U12" s="18"/>
      <c r="V12" s="17"/>
      <c r="W12" s="23">
        <f t="shared" si="0"/>
        <v>0</v>
      </c>
    </row>
    <row r="13" spans="1:23">
      <c r="A13" s="4"/>
      <c r="B13" s="9"/>
      <c r="C13" s="49"/>
      <c r="D13" s="49"/>
      <c r="E13" s="5">
        <f t="shared" si="1"/>
        <v>0</v>
      </c>
      <c r="F13" s="5"/>
      <c r="G13" s="46"/>
      <c r="H13" s="6">
        <f t="shared" si="2"/>
        <v>0</v>
      </c>
      <c r="I13" s="7"/>
      <c r="J13" s="16"/>
      <c r="K13" s="17"/>
      <c r="L13" s="17"/>
      <c r="M13" s="17"/>
      <c r="N13" s="17"/>
      <c r="O13" s="17"/>
      <c r="P13" s="17"/>
      <c r="Q13" s="18"/>
      <c r="R13" s="17"/>
      <c r="S13" s="18"/>
      <c r="T13" s="17"/>
      <c r="U13" s="18"/>
      <c r="V13" s="17"/>
      <c r="W13" s="23">
        <f t="shared" si="0"/>
        <v>0</v>
      </c>
    </row>
    <row r="14" spans="1:23">
      <c r="A14" s="4"/>
      <c r="B14" s="9"/>
      <c r="C14" s="49"/>
      <c r="D14" s="49"/>
      <c r="E14" s="5">
        <f t="shared" si="1"/>
        <v>0</v>
      </c>
      <c r="F14" s="5"/>
      <c r="G14" s="46"/>
      <c r="H14" s="6">
        <f t="shared" si="2"/>
        <v>0</v>
      </c>
      <c r="I14" s="7"/>
      <c r="J14" s="16"/>
      <c r="K14" s="17"/>
      <c r="L14" s="17"/>
      <c r="M14" s="17"/>
      <c r="N14" s="17"/>
      <c r="O14" s="17"/>
      <c r="P14" s="17"/>
      <c r="Q14" s="18"/>
      <c r="R14" s="17"/>
      <c r="S14" s="18"/>
      <c r="T14" s="17"/>
      <c r="U14" s="18"/>
      <c r="V14" s="17"/>
      <c r="W14" s="23">
        <f t="shared" si="0"/>
        <v>0</v>
      </c>
    </row>
    <row r="15" spans="1:23">
      <c r="A15" s="4"/>
      <c r="B15" s="10"/>
      <c r="C15" s="49"/>
      <c r="D15" s="49"/>
      <c r="E15" s="5">
        <f t="shared" si="1"/>
        <v>0</v>
      </c>
      <c r="F15" s="5"/>
      <c r="G15" s="46"/>
      <c r="H15" s="6">
        <f t="shared" si="2"/>
        <v>0</v>
      </c>
      <c r="I15" s="7"/>
      <c r="J15" s="16"/>
      <c r="K15" s="17"/>
      <c r="L15" s="17"/>
      <c r="M15" s="17"/>
      <c r="N15" s="17"/>
      <c r="O15" s="17"/>
      <c r="P15" s="17"/>
      <c r="Q15" s="18"/>
      <c r="R15" s="17"/>
      <c r="S15" s="18"/>
      <c r="T15" s="17"/>
      <c r="U15" s="18"/>
      <c r="V15" s="17"/>
      <c r="W15" s="23">
        <f t="shared" si="0"/>
        <v>0</v>
      </c>
    </row>
    <row r="16" spans="1:23">
      <c r="A16" s="4"/>
      <c r="B16" s="25"/>
      <c r="C16" s="49"/>
      <c r="D16" s="49"/>
      <c r="E16" s="5">
        <f t="shared" si="1"/>
        <v>0</v>
      </c>
      <c r="F16" s="5"/>
      <c r="G16" s="46"/>
      <c r="H16" s="6">
        <f t="shared" si="2"/>
        <v>0</v>
      </c>
      <c r="I16" s="7"/>
      <c r="J16" s="16"/>
      <c r="K16" s="17"/>
      <c r="L16" s="17"/>
      <c r="M16" s="17"/>
      <c r="N16" s="17"/>
      <c r="O16" s="17"/>
      <c r="P16" s="17"/>
      <c r="Q16" s="18"/>
      <c r="R16" s="17"/>
      <c r="S16" s="18"/>
      <c r="T16" s="17"/>
      <c r="U16" s="18"/>
      <c r="V16" s="17"/>
      <c r="W16" s="23">
        <f t="shared" si="0"/>
        <v>0</v>
      </c>
    </row>
    <row r="17" spans="1:23">
      <c r="A17" s="4"/>
      <c r="B17" s="25"/>
      <c r="C17" s="49"/>
      <c r="D17" s="49"/>
      <c r="E17" s="5">
        <f t="shared" si="1"/>
        <v>0</v>
      </c>
      <c r="F17" s="5"/>
      <c r="G17" s="46"/>
      <c r="H17" s="6">
        <f t="shared" si="2"/>
        <v>0</v>
      </c>
      <c r="I17" s="7"/>
      <c r="J17" s="16"/>
      <c r="K17" s="17"/>
      <c r="L17" s="17"/>
      <c r="M17" s="17"/>
      <c r="N17" s="17"/>
      <c r="O17" s="17"/>
      <c r="P17" s="17"/>
      <c r="Q17" s="18"/>
      <c r="R17" s="17"/>
      <c r="S17" s="18"/>
      <c r="T17" s="17"/>
      <c r="U17" s="18"/>
      <c r="V17" s="17"/>
      <c r="W17" s="23">
        <f t="shared" si="0"/>
        <v>0</v>
      </c>
    </row>
    <row r="18" spans="1:23">
      <c r="A18" s="4"/>
      <c r="B18" s="25"/>
      <c r="C18" s="49"/>
      <c r="D18" s="49"/>
      <c r="E18" s="5">
        <f t="shared" si="1"/>
        <v>0</v>
      </c>
      <c r="F18" s="5"/>
      <c r="G18" s="46"/>
      <c r="H18" s="6">
        <f t="shared" si="2"/>
        <v>0</v>
      </c>
      <c r="I18" s="7"/>
      <c r="J18" s="16"/>
      <c r="K18" s="17"/>
      <c r="L18" s="17"/>
      <c r="M18" s="17"/>
      <c r="N18" s="17"/>
      <c r="O18" s="17"/>
      <c r="P18" s="17"/>
      <c r="Q18" s="18"/>
      <c r="R18" s="17"/>
      <c r="S18" s="18"/>
      <c r="T18" s="17"/>
      <c r="U18" s="18"/>
      <c r="V18" s="17"/>
      <c r="W18" s="23">
        <f t="shared" si="0"/>
        <v>0</v>
      </c>
    </row>
    <row r="19" spans="1:23">
      <c r="A19" s="4"/>
      <c r="B19" s="25"/>
      <c r="C19" s="49"/>
      <c r="D19" s="49"/>
      <c r="E19" s="5">
        <f t="shared" si="1"/>
        <v>0</v>
      </c>
      <c r="F19" s="5"/>
      <c r="G19" s="46"/>
      <c r="H19" s="6">
        <f t="shared" si="2"/>
        <v>0</v>
      </c>
      <c r="I19" s="7"/>
      <c r="J19" s="16"/>
      <c r="K19" s="17"/>
      <c r="L19" s="17"/>
      <c r="M19" s="17"/>
      <c r="N19" s="17"/>
      <c r="O19" s="17"/>
      <c r="P19" s="17"/>
      <c r="Q19" s="18"/>
      <c r="R19" s="17"/>
      <c r="S19" s="18"/>
      <c r="T19" s="17"/>
      <c r="U19" s="18"/>
      <c r="V19" s="17"/>
      <c r="W19" s="23">
        <f t="shared" si="0"/>
        <v>0</v>
      </c>
    </row>
    <row r="20" spans="1:23">
      <c r="A20" s="4"/>
      <c r="B20" s="25"/>
      <c r="C20" s="49"/>
      <c r="D20" s="49"/>
      <c r="E20" s="5">
        <f t="shared" si="1"/>
        <v>0</v>
      </c>
      <c r="F20" s="5"/>
      <c r="G20" s="46"/>
      <c r="H20" s="6">
        <f t="shared" si="2"/>
        <v>0</v>
      </c>
      <c r="I20" s="7"/>
      <c r="J20" s="16"/>
      <c r="K20" s="17"/>
      <c r="L20" s="17"/>
      <c r="M20" s="17"/>
      <c r="N20" s="17"/>
      <c r="O20" s="17"/>
      <c r="P20" s="17"/>
      <c r="Q20" s="18"/>
      <c r="R20" s="17"/>
      <c r="S20" s="18"/>
      <c r="T20" s="17"/>
      <c r="U20" s="18"/>
      <c r="V20" s="17"/>
      <c r="W20" s="23">
        <f t="shared" si="0"/>
        <v>0</v>
      </c>
    </row>
    <row r="21" spans="1:23">
      <c r="A21" s="4"/>
      <c r="B21" s="50"/>
      <c r="C21" s="49"/>
      <c r="D21" s="49"/>
      <c r="E21" s="5">
        <f t="shared" si="1"/>
        <v>0</v>
      </c>
      <c r="F21" s="5"/>
      <c r="G21" s="47"/>
      <c r="H21" s="6">
        <f t="shared" si="2"/>
        <v>0</v>
      </c>
      <c r="I21" s="7"/>
      <c r="J21" s="16"/>
      <c r="K21" s="17"/>
      <c r="L21" s="17"/>
      <c r="M21" s="17"/>
      <c r="N21" s="17"/>
      <c r="O21" s="17"/>
      <c r="P21" s="17"/>
      <c r="Q21" s="18"/>
      <c r="R21" s="17"/>
      <c r="S21" s="18"/>
      <c r="T21" s="17"/>
      <c r="U21" s="18"/>
      <c r="V21" s="17"/>
      <c r="W21" s="23">
        <f t="shared" si="0"/>
        <v>0</v>
      </c>
    </row>
    <row r="22" spans="1:23">
      <c r="A22" s="4"/>
      <c r="B22" s="25"/>
      <c r="C22" s="49"/>
      <c r="D22" s="49"/>
      <c r="E22" s="5">
        <f t="shared" si="1"/>
        <v>0</v>
      </c>
      <c r="F22" s="5"/>
      <c r="G22" s="46"/>
      <c r="H22" s="6">
        <f t="shared" si="2"/>
        <v>0</v>
      </c>
      <c r="I22" s="7"/>
      <c r="J22" s="16"/>
      <c r="K22" s="17"/>
      <c r="L22" s="17"/>
      <c r="M22" s="17"/>
      <c r="N22" s="17"/>
      <c r="O22" s="17"/>
      <c r="P22" s="17"/>
      <c r="Q22" s="18"/>
      <c r="R22" s="17"/>
      <c r="S22" s="18"/>
      <c r="T22" s="17"/>
      <c r="U22" s="18"/>
      <c r="V22" s="17"/>
      <c r="W22" s="23">
        <f t="shared" si="0"/>
        <v>0</v>
      </c>
    </row>
    <row r="23" spans="1:23">
      <c r="A23" s="4"/>
      <c r="B23" s="25"/>
      <c r="C23" s="49"/>
      <c r="D23" s="49"/>
      <c r="E23" s="5">
        <f t="shared" si="1"/>
        <v>0</v>
      </c>
      <c r="F23" s="5"/>
      <c r="G23" s="46"/>
      <c r="H23" s="6">
        <f t="shared" si="2"/>
        <v>0</v>
      </c>
      <c r="I23" s="7"/>
      <c r="J23" s="16"/>
      <c r="K23" s="17"/>
      <c r="L23" s="17"/>
      <c r="M23" s="17"/>
      <c r="N23" s="17"/>
      <c r="O23" s="17"/>
      <c r="P23" s="17"/>
      <c r="Q23" s="18"/>
      <c r="R23" s="17"/>
      <c r="S23" s="18"/>
      <c r="T23" s="17"/>
      <c r="U23" s="18"/>
      <c r="V23" s="17"/>
      <c r="W23" s="23">
        <f t="shared" si="0"/>
        <v>0</v>
      </c>
    </row>
    <row r="24" spans="1:23">
      <c r="A24" s="4"/>
      <c r="B24" s="25"/>
      <c r="C24" s="49"/>
      <c r="D24" s="49"/>
      <c r="E24" s="5">
        <f t="shared" si="1"/>
        <v>0</v>
      </c>
      <c r="F24" s="5"/>
      <c r="G24" s="46"/>
      <c r="H24" s="6">
        <f t="shared" si="2"/>
        <v>0</v>
      </c>
      <c r="I24" s="7"/>
      <c r="J24" s="16"/>
      <c r="K24" s="17"/>
      <c r="L24" s="17"/>
      <c r="M24" s="17"/>
      <c r="N24" s="17"/>
      <c r="O24" s="17"/>
      <c r="P24" s="17"/>
      <c r="Q24" s="18"/>
      <c r="R24" s="17"/>
      <c r="S24" s="18"/>
      <c r="T24" s="17"/>
      <c r="U24" s="18"/>
      <c r="V24" s="17"/>
      <c r="W24" s="23">
        <f t="shared" si="0"/>
        <v>0</v>
      </c>
    </row>
    <row r="25" spans="1:23">
      <c r="A25" s="4"/>
      <c r="B25" s="25"/>
      <c r="C25" s="49"/>
      <c r="D25" s="49"/>
      <c r="E25" s="5">
        <f t="shared" si="1"/>
        <v>0</v>
      </c>
      <c r="F25" s="5"/>
      <c r="G25" s="46"/>
      <c r="H25" s="6">
        <f t="shared" si="2"/>
        <v>0</v>
      </c>
      <c r="I25" s="7"/>
      <c r="J25" s="16"/>
      <c r="K25" s="17"/>
      <c r="L25" s="17"/>
      <c r="M25" s="17"/>
      <c r="N25" s="17"/>
      <c r="O25" s="17"/>
      <c r="P25" s="17"/>
      <c r="Q25" s="18"/>
      <c r="R25" s="17"/>
      <c r="S25" s="18"/>
      <c r="T25" s="17"/>
      <c r="U25" s="18"/>
      <c r="V25" s="17"/>
      <c r="W25" s="23">
        <f t="shared" si="0"/>
        <v>0</v>
      </c>
    </row>
    <row r="26" spans="1:23">
      <c r="A26" s="4"/>
      <c r="B26" s="25"/>
      <c r="C26" s="49"/>
      <c r="D26" s="49"/>
      <c r="E26" s="5">
        <f t="shared" si="1"/>
        <v>0</v>
      </c>
      <c r="F26" s="5"/>
      <c r="G26" s="48"/>
      <c r="H26" s="6">
        <f t="shared" si="2"/>
        <v>0</v>
      </c>
      <c r="I26" s="7"/>
      <c r="J26" s="16"/>
      <c r="K26" s="17"/>
      <c r="L26" s="17"/>
      <c r="M26" s="17"/>
      <c r="N26" s="17"/>
      <c r="O26" s="17"/>
      <c r="P26" s="17"/>
      <c r="Q26" s="18"/>
      <c r="R26" s="17"/>
      <c r="S26" s="18"/>
      <c r="T26" s="17"/>
      <c r="U26" s="18"/>
      <c r="V26" s="17"/>
      <c r="W26" s="23">
        <f t="shared" si="0"/>
        <v>0</v>
      </c>
    </row>
    <row r="27" spans="1:23">
      <c r="A27" s="4"/>
      <c r="B27" s="25"/>
      <c r="C27" s="49"/>
      <c r="D27" s="49"/>
      <c r="E27" s="5">
        <f t="shared" si="1"/>
        <v>0</v>
      </c>
      <c r="F27" s="5"/>
      <c r="G27" s="46"/>
      <c r="H27" s="6">
        <f t="shared" si="2"/>
        <v>0</v>
      </c>
      <c r="I27" s="7"/>
      <c r="J27" s="16"/>
      <c r="K27" s="17"/>
      <c r="L27" s="17"/>
      <c r="M27" s="17"/>
      <c r="N27" s="17"/>
      <c r="O27" s="17"/>
      <c r="P27" s="17"/>
      <c r="Q27" s="18"/>
      <c r="R27" s="17"/>
      <c r="S27" s="18"/>
      <c r="T27" s="17"/>
      <c r="U27" s="18"/>
      <c r="V27" s="17"/>
      <c r="W27" s="23">
        <f t="shared" si="0"/>
        <v>0</v>
      </c>
    </row>
    <row r="28" spans="1:23">
      <c r="A28" s="4"/>
      <c r="B28" s="25"/>
      <c r="C28" s="49"/>
      <c r="D28" s="49"/>
      <c r="E28" s="5">
        <f t="shared" si="1"/>
        <v>0</v>
      </c>
      <c r="F28" s="5"/>
      <c r="G28" s="46"/>
      <c r="H28" s="6">
        <f t="shared" si="2"/>
        <v>0</v>
      </c>
      <c r="I28" s="7"/>
      <c r="J28" s="16"/>
      <c r="K28" s="17"/>
      <c r="L28" s="17"/>
      <c r="M28" s="17"/>
      <c r="N28" s="17"/>
      <c r="O28" s="17"/>
      <c r="P28" s="17"/>
      <c r="Q28" s="18"/>
      <c r="R28" s="17"/>
      <c r="S28" s="18"/>
      <c r="T28" s="17"/>
      <c r="U28" s="18"/>
      <c r="V28" s="17"/>
      <c r="W28" s="23">
        <f t="shared" si="0"/>
        <v>0</v>
      </c>
    </row>
    <row r="29" spans="1:23">
      <c r="A29" s="4"/>
      <c r="B29" s="25"/>
      <c r="C29" s="49"/>
      <c r="D29" s="49"/>
      <c r="E29" s="5">
        <f t="shared" si="1"/>
        <v>0</v>
      </c>
      <c r="F29" s="5"/>
      <c r="G29" s="46"/>
      <c r="H29" s="6">
        <f t="shared" si="2"/>
        <v>0</v>
      </c>
      <c r="I29" s="7"/>
      <c r="J29" s="16"/>
      <c r="K29" s="17"/>
      <c r="L29" s="17"/>
      <c r="M29" s="17"/>
      <c r="N29" s="17"/>
      <c r="O29" s="17"/>
      <c r="P29" s="17"/>
      <c r="Q29" s="18"/>
      <c r="R29" s="17"/>
      <c r="S29" s="18"/>
      <c r="T29" s="17"/>
      <c r="U29" s="18"/>
      <c r="V29" s="17"/>
      <c r="W29" s="23">
        <f t="shared" si="0"/>
        <v>0</v>
      </c>
    </row>
    <row r="30" spans="1:23">
      <c r="A30" s="4"/>
      <c r="B30" s="25"/>
      <c r="C30" s="49"/>
      <c r="D30" s="49"/>
      <c r="E30" s="5">
        <f t="shared" si="1"/>
        <v>0</v>
      </c>
      <c r="F30" s="5"/>
      <c r="G30" s="46"/>
      <c r="H30" s="6">
        <f t="shared" si="2"/>
        <v>0</v>
      </c>
      <c r="I30" s="7"/>
      <c r="J30" s="16"/>
      <c r="K30" s="17"/>
      <c r="L30" s="17"/>
      <c r="M30" s="17"/>
      <c r="N30" s="17"/>
      <c r="O30" s="17"/>
      <c r="P30" s="17"/>
      <c r="Q30" s="18"/>
      <c r="R30" s="17"/>
      <c r="S30" s="18"/>
      <c r="T30" s="17"/>
      <c r="U30" s="18"/>
      <c r="V30" s="17"/>
      <c r="W30" s="23">
        <f t="shared" si="0"/>
        <v>0</v>
      </c>
    </row>
    <row r="31" spans="1:23">
      <c r="A31" s="4"/>
      <c r="B31" s="25"/>
      <c r="C31" s="49"/>
      <c r="D31" s="49"/>
      <c r="E31" s="5">
        <f t="shared" si="1"/>
        <v>0</v>
      </c>
      <c r="F31" s="5"/>
      <c r="G31" s="46"/>
      <c r="H31" s="6">
        <f>G31+H30</f>
        <v>0</v>
      </c>
      <c r="I31" s="7"/>
      <c r="J31" s="16"/>
      <c r="K31" s="17"/>
      <c r="L31" s="17"/>
      <c r="M31" s="17"/>
      <c r="N31" s="17"/>
      <c r="O31" s="17"/>
      <c r="P31" s="17"/>
      <c r="Q31" s="18"/>
      <c r="R31" s="17"/>
      <c r="S31" s="18"/>
      <c r="T31" s="17"/>
      <c r="U31" s="18"/>
      <c r="V31" s="17"/>
      <c r="W31" s="23">
        <f t="shared" si="0"/>
        <v>0</v>
      </c>
    </row>
    <row r="32" spans="1:23">
      <c r="A32" s="4"/>
      <c r="B32" s="25"/>
      <c r="C32" s="49"/>
      <c r="D32" s="49"/>
      <c r="E32" s="5">
        <f t="shared" si="1"/>
        <v>0</v>
      </c>
      <c r="F32" s="5"/>
      <c r="G32" s="46"/>
      <c r="H32" s="6">
        <f t="shared" si="2"/>
        <v>0</v>
      </c>
      <c r="I32" s="7"/>
      <c r="J32" s="16"/>
      <c r="K32" s="17"/>
      <c r="L32" s="17"/>
      <c r="M32" s="17"/>
      <c r="N32" s="17"/>
      <c r="O32" s="17"/>
      <c r="P32" s="17"/>
      <c r="Q32" s="18"/>
      <c r="R32" s="17"/>
      <c r="S32" s="18"/>
      <c r="T32" s="17"/>
      <c r="U32" s="18"/>
      <c r="V32" s="17"/>
      <c r="W32" s="23">
        <f t="shared" si="0"/>
        <v>0</v>
      </c>
    </row>
    <row r="33" spans="1:23">
      <c r="A33" s="4"/>
      <c r="B33" s="8"/>
      <c r="C33" s="49"/>
      <c r="D33" s="49"/>
      <c r="E33" s="5">
        <f t="shared" si="1"/>
        <v>0</v>
      </c>
      <c r="F33" s="5"/>
      <c r="G33" s="46"/>
      <c r="H33" s="6">
        <f t="shared" si="2"/>
        <v>0</v>
      </c>
      <c r="I33" s="7"/>
      <c r="J33" s="16"/>
      <c r="K33" s="17"/>
      <c r="L33" s="17"/>
      <c r="M33" s="17"/>
      <c r="N33" s="17"/>
      <c r="O33" s="17"/>
      <c r="P33" s="17"/>
      <c r="Q33" s="18"/>
      <c r="R33" s="17"/>
      <c r="S33" s="18"/>
      <c r="T33" s="17"/>
      <c r="U33" s="18"/>
      <c r="V33" s="17"/>
      <c r="W33" s="23">
        <f t="shared" si="0"/>
        <v>0</v>
      </c>
    </row>
    <row r="34" spans="1:23">
      <c r="A34" s="4"/>
      <c r="B34" s="92"/>
      <c r="C34" s="49"/>
      <c r="D34" s="49"/>
      <c r="E34" s="5">
        <f t="shared" si="1"/>
        <v>0</v>
      </c>
      <c r="F34" s="5"/>
      <c r="G34" s="46"/>
      <c r="H34" s="6">
        <f t="shared" si="2"/>
        <v>0</v>
      </c>
      <c r="I34" s="7"/>
      <c r="J34" s="16"/>
      <c r="K34" s="17"/>
      <c r="L34" s="17"/>
      <c r="M34" s="17"/>
      <c r="N34" s="17"/>
      <c r="O34" s="17"/>
      <c r="P34" s="17"/>
      <c r="Q34" s="18"/>
      <c r="R34" s="17"/>
      <c r="S34" s="18"/>
      <c r="T34" s="17"/>
      <c r="U34" s="18"/>
      <c r="V34" s="17"/>
      <c r="W34" s="23">
        <f t="shared" si="0"/>
        <v>0</v>
      </c>
    </row>
    <row r="35" spans="1:23">
      <c r="A35" s="91" t="s">
        <v>150</v>
      </c>
      <c r="B35" s="93">
        <f>SUM(B4:B34)</f>
        <v>0</v>
      </c>
      <c r="C35" s="93">
        <f t="shared" ref="C35:G35" si="3">SUM(C4:C34)</f>
        <v>0</v>
      </c>
      <c r="D35" s="93">
        <f t="shared" si="3"/>
        <v>0</v>
      </c>
      <c r="E35" s="93">
        <f t="shared" si="3"/>
        <v>0</v>
      </c>
      <c r="F35" s="93">
        <f>F34</f>
        <v>0</v>
      </c>
      <c r="G35" s="93">
        <f t="shared" si="3"/>
        <v>0</v>
      </c>
      <c r="H35" s="97">
        <f>H34</f>
        <v>0</v>
      </c>
      <c r="I35" s="12">
        <f>SUM(I4:I34)</f>
        <v>0</v>
      </c>
      <c r="J35" s="12">
        <f>J34</f>
        <v>0</v>
      </c>
      <c r="K35" s="19">
        <f t="shared" ref="K35:W35" si="4">SUM(K4:K34)</f>
        <v>0</v>
      </c>
      <c r="L35" s="19">
        <f t="shared" si="4"/>
        <v>0</v>
      </c>
      <c r="M35" s="19">
        <f t="shared" si="4"/>
        <v>0</v>
      </c>
      <c r="N35" s="19">
        <f t="shared" si="4"/>
        <v>0</v>
      </c>
      <c r="O35" s="19">
        <f t="shared" si="4"/>
        <v>0</v>
      </c>
      <c r="P35" s="19">
        <f t="shared" si="4"/>
        <v>0</v>
      </c>
      <c r="Q35" s="19">
        <f t="shared" si="4"/>
        <v>0</v>
      </c>
      <c r="R35" s="19">
        <f t="shared" si="4"/>
        <v>0</v>
      </c>
      <c r="S35" s="19">
        <f t="shared" si="4"/>
        <v>0</v>
      </c>
      <c r="T35" s="19">
        <f t="shared" si="4"/>
        <v>0</v>
      </c>
      <c r="U35" s="19">
        <f t="shared" si="4"/>
        <v>0</v>
      </c>
      <c r="V35" s="19">
        <f t="shared" si="4"/>
        <v>0</v>
      </c>
      <c r="W35" s="19">
        <f t="shared" si="4"/>
        <v>0</v>
      </c>
    </row>
  </sheetData>
  <mergeCells count="2">
    <mergeCell ref="A1:I1"/>
    <mergeCell ref="J1:W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F21" sqref="F21"/>
    </sheetView>
  </sheetViews>
  <sheetFormatPr defaultColWidth="9.140625" defaultRowHeight="12.75"/>
  <cols>
    <col min="1" max="1" width="22.42578125" customWidth="1"/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2.85546875" customWidth="1"/>
    <col min="10" max="10" width="14" customWidth="1"/>
    <col min="11" max="11" width="13" customWidth="1"/>
  </cols>
  <sheetData>
    <row r="1" spans="1:23" ht="30.95" customHeight="1">
      <c r="A1" s="203"/>
      <c r="B1" s="203"/>
      <c r="C1" s="203"/>
      <c r="D1" s="203"/>
      <c r="E1" s="203"/>
      <c r="F1" s="203"/>
      <c r="G1" s="203"/>
      <c r="H1" s="203"/>
      <c r="I1" s="203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23" ht="51">
      <c r="A3" s="94" t="s">
        <v>130</v>
      </c>
      <c r="B3" s="94" t="s">
        <v>131</v>
      </c>
      <c r="C3" s="94" t="s">
        <v>151</v>
      </c>
      <c r="D3" s="94" t="s">
        <v>132</v>
      </c>
      <c r="E3" s="94" t="s">
        <v>133</v>
      </c>
      <c r="F3" s="94" t="s">
        <v>134</v>
      </c>
      <c r="G3" s="94" t="s">
        <v>135</v>
      </c>
      <c r="H3" s="94" t="s">
        <v>136</v>
      </c>
      <c r="I3" s="94" t="s">
        <v>137</v>
      </c>
      <c r="J3" s="95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3">
      <c r="A4" s="4"/>
      <c r="B4" s="25"/>
      <c r="C4" s="49"/>
      <c r="D4" s="49"/>
      <c r="E4" s="5">
        <f>+B4-D4-C4</f>
        <v>0</v>
      </c>
      <c r="F4" s="5"/>
      <c r="G4" s="46"/>
      <c r="H4" s="6">
        <f>G4</f>
        <v>0</v>
      </c>
      <c r="I4" s="7"/>
      <c r="J4" s="16"/>
      <c r="K4" s="17"/>
      <c r="L4" s="17"/>
      <c r="M4" s="17"/>
      <c r="N4" s="17"/>
      <c r="O4" s="17"/>
      <c r="P4" s="17"/>
      <c r="Q4" s="18"/>
      <c r="R4" s="17"/>
      <c r="S4" s="18"/>
      <c r="T4" s="17"/>
      <c r="U4" s="18"/>
      <c r="V4" s="17"/>
      <c r="W4" s="23">
        <f t="shared" ref="W4:W34" si="0">SUM(K4:V4)</f>
        <v>0</v>
      </c>
    </row>
    <row r="5" spans="1:23">
      <c r="A5" s="4"/>
      <c r="B5" s="25"/>
      <c r="C5" s="49"/>
      <c r="D5" s="49"/>
      <c r="E5" s="5">
        <f t="shared" ref="E5:E34" si="1">+B5-D5-C5</f>
        <v>0</v>
      </c>
      <c r="F5" s="5"/>
      <c r="G5" s="46"/>
      <c r="H5" s="6">
        <f>G5+H4</f>
        <v>0</v>
      </c>
      <c r="I5" s="7"/>
      <c r="J5" s="16"/>
      <c r="K5" s="17"/>
      <c r="L5" s="17"/>
      <c r="M5" s="17"/>
      <c r="N5" s="17"/>
      <c r="O5" s="17"/>
      <c r="P5" s="17"/>
      <c r="Q5" s="18"/>
      <c r="R5" s="17"/>
      <c r="S5" s="18"/>
      <c r="T5" s="17"/>
      <c r="U5" s="18"/>
      <c r="V5" s="17"/>
      <c r="W5" s="23">
        <f t="shared" si="0"/>
        <v>0</v>
      </c>
    </row>
    <row r="6" spans="1:23">
      <c r="A6" s="4"/>
      <c r="B6" s="25"/>
      <c r="C6" s="49"/>
      <c r="D6" s="49"/>
      <c r="E6" s="5">
        <f t="shared" si="1"/>
        <v>0</v>
      </c>
      <c r="F6" s="5"/>
      <c r="G6" s="46"/>
      <c r="H6" s="6">
        <f>G6+H5</f>
        <v>0</v>
      </c>
      <c r="I6" s="7"/>
      <c r="J6" s="16"/>
      <c r="K6" s="17"/>
      <c r="L6" s="17"/>
      <c r="M6" s="17"/>
      <c r="N6" s="17"/>
      <c r="O6" s="17"/>
      <c r="P6" s="17"/>
      <c r="Q6" s="18"/>
      <c r="R6" s="17"/>
      <c r="S6" s="18"/>
      <c r="T6" s="17"/>
      <c r="U6" s="18"/>
      <c r="V6" s="17"/>
      <c r="W6" s="23">
        <f t="shared" si="0"/>
        <v>0</v>
      </c>
    </row>
    <row r="7" spans="1:23">
      <c r="A7" s="4"/>
      <c r="B7" s="25"/>
      <c r="C7" s="49"/>
      <c r="D7" s="49"/>
      <c r="E7" s="5">
        <f t="shared" si="1"/>
        <v>0</v>
      </c>
      <c r="F7" s="5"/>
      <c r="G7" s="46"/>
      <c r="H7" s="6">
        <f t="shared" ref="H7:H34" si="2">G7+H6</f>
        <v>0</v>
      </c>
      <c r="I7" s="7"/>
      <c r="J7" s="16"/>
      <c r="K7" s="17"/>
      <c r="L7" s="17"/>
      <c r="M7" s="17"/>
      <c r="N7" s="17"/>
      <c r="O7" s="17"/>
      <c r="P7" s="17"/>
      <c r="Q7" s="18"/>
      <c r="R7" s="17"/>
      <c r="S7" s="18"/>
      <c r="T7" s="17"/>
      <c r="U7" s="18"/>
      <c r="V7" s="17"/>
      <c r="W7" s="23">
        <f t="shared" si="0"/>
        <v>0</v>
      </c>
    </row>
    <row r="8" spans="1:23">
      <c r="A8" s="4"/>
      <c r="B8" s="25"/>
      <c r="C8" s="49"/>
      <c r="D8" s="49"/>
      <c r="E8" s="5">
        <f t="shared" si="1"/>
        <v>0</v>
      </c>
      <c r="F8" s="5"/>
      <c r="G8" s="46"/>
      <c r="H8" s="6">
        <f t="shared" si="2"/>
        <v>0</v>
      </c>
      <c r="I8" s="7"/>
      <c r="J8" s="16"/>
      <c r="K8" s="17"/>
      <c r="L8" s="17"/>
      <c r="M8" s="17"/>
      <c r="N8" s="17"/>
      <c r="O8" s="17"/>
      <c r="P8" s="17"/>
      <c r="Q8" s="18"/>
      <c r="R8" s="17"/>
      <c r="S8" s="18"/>
      <c r="T8" s="17"/>
      <c r="U8" s="18"/>
      <c r="V8" s="17"/>
      <c r="W8" s="23">
        <f t="shared" si="0"/>
        <v>0</v>
      </c>
    </row>
    <row r="9" spans="1:23">
      <c r="A9" s="4"/>
      <c r="B9" s="25"/>
      <c r="C9" s="49"/>
      <c r="D9" s="49"/>
      <c r="E9" s="5">
        <f t="shared" si="1"/>
        <v>0</v>
      </c>
      <c r="F9" s="5"/>
      <c r="G9" s="46"/>
      <c r="H9" s="6">
        <f t="shared" si="2"/>
        <v>0</v>
      </c>
      <c r="I9" s="7"/>
      <c r="J9" s="16"/>
      <c r="K9" s="17"/>
      <c r="L9" s="17"/>
      <c r="M9" s="17"/>
      <c r="N9" s="17"/>
      <c r="O9" s="17"/>
      <c r="P9" s="17"/>
      <c r="Q9" s="18"/>
      <c r="R9" s="17"/>
      <c r="S9" s="18"/>
      <c r="T9" s="17"/>
      <c r="U9" s="18"/>
      <c r="V9" s="17"/>
      <c r="W9" s="23">
        <f t="shared" si="0"/>
        <v>0</v>
      </c>
    </row>
    <row r="10" spans="1:23">
      <c r="A10" s="4"/>
      <c r="B10" s="25"/>
      <c r="C10" s="49"/>
      <c r="D10" s="49"/>
      <c r="E10" s="5">
        <f t="shared" si="1"/>
        <v>0</v>
      </c>
      <c r="F10" s="5"/>
      <c r="G10" s="46"/>
      <c r="H10" s="6">
        <f t="shared" si="2"/>
        <v>0</v>
      </c>
      <c r="I10" s="7"/>
      <c r="J10" s="16"/>
      <c r="K10" s="17"/>
      <c r="L10" s="17"/>
      <c r="M10" s="17"/>
      <c r="N10" s="17"/>
      <c r="O10" s="17"/>
      <c r="P10" s="17"/>
      <c r="Q10" s="18"/>
      <c r="R10" s="17"/>
      <c r="S10" s="18"/>
      <c r="T10" s="17"/>
      <c r="U10" s="18"/>
      <c r="V10" s="17"/>
      <c r="W10" s="23">
        <f t="shared" si="0"/>
        <v>0</v>
      </c>
    </row>
    <row r="11" spans="1:23">
      <c r="A11" s="4"/>
      <c r="B11" s="26"/>
      <c r="C11" s="49"/>
      <c r="D11" s="49"/>
      <c r="E11" s="5">
        <f t="shared" si="1"/>
        <v>0</v>
      </c>
      <c r="F11" s="5"/>
      <c r="G11" s="46"/>
      <c r="H11" s="6">
        <f t="shared" si="2"/>
        <v>0</v>
      </c>
      <c r="I11" s="7"/>
      <c r="J11" s="16"/>
      <c r="K11" s="17"/>
      <c r="L11" s="17"/>
      <c r="M11" s="17"/>
      <c r="N11" s="17"/>
      <c r="O11" s="17"/>
      <c r="P11" s="17"/>
      <c r="Q11" s="18"/>
      <c r="R11" s="17"/>
      <c r="S11" s="18"/>
      <c r="T11" s="17"/>
      <c r="U11" s="18"/>
      <c r="V11" s="17"/>
      <c r="W11" s="23">
        <f t="shared" si="0"/>
        <v>0</v>
      </c>
    </row>
    <row r="12" spans="1:23">
      <c r="A12" s="4"/>
      <c r="B12" s="25"/>
      <c r="C12" s="49"/>
      <c r="D12" s="49"/>
      <c r="E12" s="5">
        <f t="shared" si="1"/>
        <v>0</v>
      </c>
      <c r="F12" s="5"/>
      <c r="G12" s="46"/>
      <c r="H12" s="6">
        <f t="shared" si="2"/>
        <v>0</v>
      </c>
      <c r="I12" s="7"/>
      <c r="J12" s="16"/>
      <c r="K12" s="17"/>
      <c r="L12" s="17"/>
      <c r="M12" s="17"/>
      <c r="N12" s="17"/>
      <c r="O12" s="17"/>
      <c r="P12" s="17"/>
      <c r="Q12" s="18"/>
      <c r="R12" s="17"/>
      <c r="S12" s="18"/>
      <c r="T12" s="17"/>
      <c r="U12" s="18"/>
      <c r="V12" s="17"/>
      <c r="W12" s="23">
        <f t="shared" si="0"/>
        <v>0</v>
      </c>
    </row>
    <row r="13" spans="1:23">
      <c r="A13" s="4"/>
      <c r="B13" s="9"/>
      <c r="C13" s="49"/>
      <c r="D13" s="49"/>
      <c r="E13" s="5">
        <f t="shared" si="1"/>
        <v>0</v>
      </c>
      <c r="F13" s="5"/>
      <c r="G13" s="46"/>
      <c r="H13" s="6">
        <f t="shared" si="2"/>
        <v>0</v>
      </c>
      <c r="I13" s="7"/>
      <c r="J13" s="16"/>
      <c r="K13" s="17"/>
      <c r="L13" s="17"/>
      <c r="M13" s="17"/>
      <c r="N13" s="17"/>
      <c r="O13" s="17"/>
      <c r="P13" s="17"/>
      <c r="Q13" s="18"/>
      <c r="R13" s="17"/>
      <c r="S13" s="18"/>
      <c r="T13" s="17"/>
      <c r="U13" s="18"/>
      <c r="V13" s="17"/>
      <c r="W13" s="23">
        <f t="shared" si="0"/>
        <v>0</v>
      </c>
    </row>
    <row r="14" spans="1:23">
      <c r="A14" s="4"/>
      <c r="B14" s="9"/>
      <c r="C14" s="49"/>
      <c r="D14" s="49"/>
      <c r="E14" s="5">
        <f t="shared" si="1"/>
        <v>0</v>
      </c>
      <c r="F14" s="5"/>
      <c r="G14" s="46"/>
      <c r="H14" s="6">
        <f t="shared" si="2"/>
        <v>0</v>
      </c>
      <c r="I14" s="7"/>
      <c r="J14" s="16"/>
      <c r="K14" s="17"/>
      <c r="L14" s="17"/>
      <c r="M14" s="17"/>
      <c r="N14" s="17"/>
      <c r="O14" s="17"/>
      <c r="P14" s="17"/>
      <c r="Q14" s="18"/>
      <c r="R14" s="17"/>
      <c r="S14" s="18"/>
      <c r="T14" s="17"/>
      <c r="U14" s="18"/>
      <c r="V14" s="17"/>
      <c r="W14" s="23">
        <f t="shared" si="0"/>
        <v>0</v>
      </c>
    </row>
    <row r="15" spans="1:23">
      <c r="A15" s="4"/>
      <c r="B15" s="10"/>
      <c r="C15" s="49"/>
      <c r="D15" s="49"/>
      <c r="E15" s="5">
        <f t="shared" si="1"/>
        <v>0</v>
      </c>
      <c r="F15" s="5"/>
      <c r="G15" s="46"/>
      <c r="H15" s="6">
        <f t="shared" si="2"/>
        <v>0</v>
      </c>
      <c r="I15" s="7"/>
      <c r="J15" s="16"/>
      <c r="K15" s="17"/>
      <c r="L15" s="17"/>
      <c r="M15" s="17"/>
      <c r="N15" s="17"/>
      <c r="O15" s="17"/>
      <c r="P15" s="17"/>
      <c r="Q15" s="18"/>
      <c r="R15" s="17"/>
      <c r="S15" s="18"/>
      <c r="T15" s="17"/>
      <c r="U15" s="18"/>
      <c r="V15" s="17"/>
      <c r="W15" s="23">
        <f t="shared" si="0"/>
        <v>0</v>
      </c>
    </row>
    <row r="16" spans="1:23">
      <c r="A16" s="4"/>
      <c r="B16" s="25"/>
      <c r="C16" s="49"/>
      <c r="D16" s="49"/>
      <c r="E16" s="5">
        <f t="shared" si="1"/>
        <v>0</v>
      </c>
      <c r="F16" s="5"/>
      <c r="G16" s="46"/>
      <c r="H16" s="6">
        <f t="shared" si="2"/>
        <v>0</v>
      </c>
      <c r="I16" s="7"/>
      <c r="J16" s="16"/>
      <c r="K16" s="17"/>
      <c r="L16" s="17"/>
      <c r="M16" s="17"/>
      <c r="N16" s="17"/>
      <c r="O16" s="17"/>
      <c r="P16" s="17"/>
      <c r="Q16" s="18"/>
      <c r="R16" s="17"/>
      <c r="S16" s="18"/>
      <c r="T16" s="17"/>
      <c r="U16" s="18"/>
      <c r="V16" s="17"/>
      <c r="W16" s="23">
        <f t="shared" si="0"/>
        <v>0</v>
      </c>
    </row>
    <row r="17" spans="1:23">
      <c r="A17" s="4"/>
      <c r="B17" s="25"/>
      <c r="C17" s="49"/>
      <c r="D17" s="49"/>
      <c r="E17" s="5">
        <f t="shared" si="1"/>
        <v>0</v>
      </c>
      <c r="F17" s="5"/>
      <c r="G17" s="46"/>
      <c r="H17" s="6">
        <f t="shared" si="2"/>
        <v>0</v>
      </c>
      <c r="I17" s="7"/>
      <c r="J17" s="16"/>
      <c r="K17" s="17"/>
      <c r="L17" s="17"/>
      <c r="M17" s="17"/>
      <c r="N17" s="17"/>
      <c r="O17" s="17"/>
      <c r="P17" s="17"/>
      <c r="Q17" s="18"/>
      <c r="R17" s="17"/>
      <c r="S17" s="18"/>
      <c r="T17" s="17"/>
      <c r="U17" s="18"/>
      <c r="V17" s="17"/>
      <c r="W17" s="23">
        <f t="shared" si="0"/>
        <v>0</v>
      </c>
    </row>
    <row r="18" spans="1:23">
      <c r="A18" s="4"/>
      <c r="B18" s="25"/>
      <c r="C18" s="49"/>
      <c r="D18" s="49"/>
      <c r="E18" s="5">
        <f t="shared" si="1"/>
        <v>0</v>
      </c>
      <c r="F18" s="5"/>
      <c r="G18" s="46"/>
      <c r="H18" s="6">
        <f t="shared" si="2"/>
        <v>0</v>
      </c>
      <c r="I18" s="7"/>
      <c r="J18" s="16"/>
      <c r="K18" s="17"/>
      <c r="L18" s="17"/>
      <c r="M18" s="17"/>
      <c r="N18" s="17"/>
      <c r="O18" s="17"/>
      <c r="P18" s="17"/>
      <c r="Q18" s="18"/>
      <c r="R18" s="17"/>
      <c r="S18" s="18"/>
      <c r="T18" s="17"/>
      <c r="U18" s="18"/>
      <c r="V18" s="17"/>
      <c r="W18" s="23">
        <f t="shared" si="0"/>
        <v>0</v>
      </c>
    </row>
    <row r="19" spans="1:23">
      <c r="A19" s="4"/>
      <c r="B19" s="25"/>
      <c r="C19" s="49"/>
      <c r="D19" s="49"/>
      <c r="E19" s="5">
        <f t="shared" si="1"/>
        <v>0</v>
      </c>
      <c r="F19" s="5"/>
      <c r="G19" s="46"/>
      <c r="H19" s="6">
        <f t="shared" si="2"/>
        <v>0</v>
      </c>
      <c r="I19" s="7"/>
      <c r="J19" s="16"/>
      <c r="K19" s="17"/>
      <c r="L19" s="17"/>
      <c r="M19" s="17"/>
      <c r="N19" s="17"/>
      <c r="O19" s="17"/>
      <c r="P19" s="17"/>
      <c r="Q19" s="18"/>
      <c r="R19" s="17"/>
      <c r="S19" s="18"/>
      <c r="T19" s="17"/>
      <c r="U19" s="18"/>
      <c r="V19" s="17"/>
      <c r="W19" s="23">
        <f t="shared" si="0"/>
        <v>0</v>
      </c>
    </row>
    <row r="20" spans="1:23">
      <c r="A20" s="4"/>
      <c r="B20" s="25"/>
      <c r="C20" s="49"/>
      <c r="D20" s="49"/>
      <c r="E20" s="5">
        <f t="shared" si="1"/>
        <v>0</v>
      </c>
      <c r="F20" s="5"/>
      <c r="G20" s="46"/>
      <c r="H20" s="6">
        <f t="shared" si="2"/>
        <v>0</v>
      </c>
      <c r="I20" s="7"/>
      <c r="J20" s="16"/>
      <c r="K20" s="17"/>
      <c r="L20" s="17"/>
      <c r="M20" s="17"/>
      <c r="N20" s="17"/>
      <c r="O20" s="17"/>
      <c r="P20" s="17"/>
      <c r="Q20" s="18"/>
      <c r="R20" s="17"/>
      <c r="S20" s="18"/>
      <c r="T20" s="17"/>
      <c r="U20" s="18"/>
      <c r="V20" s="17"/>
      <c r="W20" s="23">
        <f t="shared" si="0"/>
        <v>0</v>
      </c>
    </row>
    <row r="21" spans="1:23">
      <c r="A21" s="4"/>
      <c r="B21" s="50"/>
      <c r="C21" s="49"/>
      <c r="D21" s="49"/>
      <c r="E21" s="5">
        <f t="shared" si="1"/>
        <v>0</v>
      </c>
      <c r="F21" s="5"/>
      <c r="G21" s="47"/>
      <c r="H21" s="6">
        <f t="shared" si="2"/>
        <v>0</v>
      </c>
      <c r="I21" s="7"/>
      <c r="J21" s="16"/>
      <c r="K21" s="17"/>
      <c r="L21" s="17"/>
      <c r="M21" s="17"/>
      <c r="N21" s="17"/>
      <c r="O21" s="17"/>
      <c r="P21" s="17"/>
      <c r="Q21" s="18"/>
      <c r="R21" s="17"/>
      <c r="S21" s="18"/>
      <c r="T21" s="17"/>
      <c r="U21" s="18"/>
      <c r="V21" s="17"/>
      <c r="W21" s="23">
        <f t="shared" si="0"/>
        <v>0</v>
      </c>
    </row>
    <row r="22" spans="1:23">
      <c r="A22" s="4"/>
      <c r="B22" s="25"/>
      <c r="C22" s="49"/>
      <c r="D22" s="49"/>
      <c r="E22" s="5">
        <f t="shared" si="1"/>
        <v>0</v>
      </c>
      <c r="F22" s="5"/>
      <c r="G22" s="46"/>
      <c r="H22" s="6">
        <f t="shared" si="2"/>
        <v>0</v>
      </c>
      <c r="I22" s="7"/>
      <c r="J22" s="16"/>
      <c r="K22" s="17"/>
      <c r="L22" s="17"/>
      <c r="M22" s="17"/>
      <c r="N22" s="17"/>
      <c r="O22" s="17"/>
      <c r="P22" s="17"/>
      <c r="Q22" s="18"/>
      <c r="R22" s="17"/>
      <c r="S22" s="18"/>
      <c r="T22" s="17"/>
      <c r="U22" s="18"/>
      <c r="V22" s="17"/>
      <c r="W22" s="23">
        <f t="shared" si="0"/>
        <v>0</v>
      </c>
    </row>
    <row r="23" spans="1:23">
      <c r="A23" s="4"/>
      <c r="B23" s="25"/>
      <c r="C23" s="49"/>
      <c r="D23" s="49"/>
      <c r="E23" s="5">
        <f t="shared" si="1"/>
        <v>0</v>
      </c>
      <c r="F23" s="5"/>
      <c r="G23" s="46"/>
      <c r="H23" s="6">
        <f t="shared" si="2"/>
        <v>0</v>
      </c>
      <c r="I23" s="7"/>
      <c r="J23" s="16"/>
      <c r="K23" s="17"/>
      <c r="L23" s="17"/>
      <c r="M23" s="17"/>
      <c r="N23" s="17"/>
      <c r="O23" s="17"/>
      <c r="P23" s="17"/>
      <c r="Q23" s="18"/>
      <c r="R23" s="17"/>
      <c r="S23" s="18"/>
      <c r="T23" s="17"/>
      <c r="U23" s="18"/>
      <c r="V23" s="17"/>
      <c r="W23" s="23">
        <f t="shared" si="0"/>
        <v>0</v>
      </c>
    </row>
    <row r="24" spans="1:23">
      <c r="A24" s="4"/>
      <c r="B24" s="25"/>
      <c r="C24" s="49"/>
      <c r="D24" s="49"/>
      <c r="E24" s="5">
        <f t="shared" si="1"/>
        <v>0</v>
      </c>
      <c r="F24" s="5"/>
      <c r="G24" s="46"/>
      <c r="H24" s="6">
        <f t="shared" si="2"/>
        <v>0</v>
      </c>
      <c r="I24" s="7"/>
      <c r="J24" s="16"/>
      <c r="K24" s="17"/>
      <c r="L24" s="17"/>
      <c r="M24" s="17"/>
      <c r="N24" s="17"/>
      <c r="O24" s="17"/>
      <c r="P24" s="17"/>
      <c r="Q24" s="18"/>
      <c r="R24" s="17"/>
      <c r="S24" s="18"/>
      <c r="T24" s="17"/>
      <c r="U24" s="18"/>
      <c r="V24" s="17"/>
      <c r="W24" s="23">
        <f t="shared" si="0"/>
        <v>0</v>
      </c>
    </row>
    <row r="25" spans="1:23">
      <c r="A25" s="4"/>
      <c r="B25" s="25"/>
      <c r="C25" s="49"/>
      <c r="D25" s="49"/>
      <c r="E25" s="5">
        <f t="shared" si="1"/>
        <v>0</v>
      </c>
      <c r="F25" s="5"/>
      <c r="G25" s="46"/>
      <c r="H25" s="6">
        <f t="shared" si="2"/>
        <v>0</v>
      </c>
      <c r="I25" s="7"/>
      <c r="J25" s="16"/>
      <c r="K25" s="17"/>
      <c r="L25" s="17"/>
      <c r="M25" s="17"/>
      <c r="N25" s="17"/>
      <c r="O25" s="17"/>
      <c r="P25" s="17"/>
      <c r="Q25" s="18"/>
      <c r="R25" s="17"/>
      <c r="S25" s="18"/>
      <c r="T25" s="17"/>
      <c r="U25" s="18"/>
      <c r="V25" s="17"/>
      <c r="W25" s="23">
        <f t="shared" si="0"/>
        <v>0</v>
      </c>
    </row>
    <row r="26" spans="1:23">
      <c r="A26" s="4"/>
      <c r="B26" s="25"/>
      <c r="C26" s="49"/>
      <c r="D26" s="49"/>
      <c r="E26" s="5">
        <f t="shared" si="1"/>
        <v>0</v>
      </c>
      <c r="F26" s="5"/>
      <c r="G26" s="48"/>
      <c r="H26" s="6">
        <f t="shared" si="2"/>
        <v>0</v>
      </c>
      <c r="I26" s="7"/>
      <c r="J26" s="16"/>
      <c r="K26" s="17"/>
      <c r="L26" s="17"/>
      <c r="M26" s="17"/>
      <c r="N26" s="17"/>
      <c r="O26" s="17"/>
      <c r="P26" s="17"/>
      <c r="Q26" s="18"/>
      <c r="R26" s="17"/>
      <c r="S26" s="18"/>
      <c r="T26" s="17"/>
      <c r="U26" s="18"/>
      <c r="V26" s="17"/>
      <c r="W26" s="23">
        <f t="shared" si="0"/>
        <v>0</v>
      </c>
    </row>
    <row r="27" spans="1:23">
      <c r="A27" s="4"/>
      <c r="B27" s="25"/>
      <c r="C27" s="49"/>
      <c r="D27" s="49"/>
      <c r="E27" s="5">
        <f t="shared" si="1"/>
        <v>0</v>
      </c>
      <c r="F27" s="5"/>
      <c r="G27" s="46"/>
      <c r="H27" s="6">
        <f t="shared" si="2"/>
        <v>0</v>
      </c>
      <c r="I27" s="7"/>
      <c r="J27" s="16"/>
      <c r="K27" s="17"/>
      <c r="L27" s="17"/>
      <c r="M27" s="17"/>
      <c r="N27" s="17"/>
      <c r="O27" s="17"/>
      <c r="P27" s="17"/>
      <c r="Q27" s="18"/>
      <c r="R27" s="17"/>
      <c r="S27" s="18"/>
      <c r="T27" s="17"/>
      <c r="U27" s="18"/>
      <c r="V27" s="17"/>
      <c r="W27" s="23">
        <f t="shared" si="0"/>
        <v>0</v>
      </c>
    </row>
    <row r="28" spans="1:23">
      <c r="A28" s="4"/>
      <c r="B28" s="25"/>
      <c r="C28" s="49"/>
      <c r="D28" s="49"/>
      <c r="E28" s="5">
        <f t="shared" si="1"/>
        <v>0</v>
      </c>
      <c r="F28" s="5"/>
      <c r="G28" s="46"/>
      <c r="H28" s="6">
        <f t="shared" si="2"/>
        <v>0</v>
      </c>
      <c r="I28" s="7"/>
      <c r="J28" s="16"/>
      <c r="K28" s="17"/>
      <c r="L28" s="17"/>
      <c r="M28" s="17"/>
      <c r="N28" s="17"/>
      <c r="O28" s="17"/>
      <c r="P28" s="17"/>
      <c r="Q28" s="18"/>
      <c r="R28" s="17"/>
      <c r="S28" s="18"/>
      <c r="T28" s="17"/>
      <c r="U28" s="18"/>
      <c r="V28" s="17"/>
      <c r="W28" s="23">
        <f t="shared" si="0"/>
        <v>0</v>
      </c>
    </row>
    <row r="29" spans="1:23">
      <c r="A29" s="4"/>
      <c r="B29" s="25"/>
      <c r="C29" s="49"/>
      <c r="D29" s="49"/>
      <c r="E29" s="5">
        <f t="shared" si="1"/>
        <v>0</v>
      </c>
      <c r="F29" s="5"/>
      <c r="G29" s="46"/>
      <c r="H29" s="6">
        <f t="shared" si="2"/>
        <v>0</v>
      </c>
      <c r="I29" s="7"/>
      <c r="J29" s="16"/>
      <c r="K29" s="17"/>
      <c r="L29" s="17"/>
      <c r="M29" s="17"/>
      <c r="N29" s="17"/>
      <c r="O29" s="17"/>
      <c r="P29" s="17"/>
      <c r="Q29" s="18"/>
      <c r="R29" s="17"/>
      <c r="S29" s="18"/>
      <c r="T29" s="17"/>
      <c r="U29" s="18"/>
      <c r="V29" s="17"/>
      <c r="W29" s="23">
        <f t="shared" si="0"/>
        <v>0</v>
      </c>
    </row>
    <row r="30" spans="1:23">
      <c r="A30" s="4"/>
      <c r="B30" s="25"/>
      <c r="C30" s="49"/>
      <c r="D30" s="49"/>
      <c r="E30" s="5">
        <f t="shared" si="1"/>
        <v>0</v>
      </c>
      <c r="F30" s="5"/>
      <c r="G30" s="46"/>
      <c r="H30" s="6">
        <f t="shared" si="2"/>
        <v>0</v>
      </c>
      <c r="I30" s="7"/>
      <c r="J30" s="16"/>
      <c r="K30" s="17"/>
      <c r="L30" s="17"/>
      <c r="M30" s="17"/>
      <c r="N30" s="17"/>
      <c r="O30" s="17"/>
      <c r="P30" s="17"/>
      <c r="Q30" s="18"/>
      <c r="R30" s="17"/>
      <c r="S30" s="18"/>
      <c r="T30" s="17"/>
      <c r="U30" s="18"/>
      <c r="V30" s="17"/>
      <c r="W30" s="23">
        <f t="shared" si="0"/>
        <v>0</v>
      </c>
    </row>
    <row r="31" spans="1:23">
      <c r="A31" s="4"/>
      <c r="B31" s="25"/>
      <c r="C31" s="49"/>
      <c r="D31" s="49"/>
      <c r="E31" s="5">
        <f t="shared" si="1"/>
        <v>0</v>
      </c>
      <c r="F31" s="5"/>
      <c r="G31" s="46"/>
      <c r="H31" s="6">
        <f>G31+H30</f>
        <v>0</v>
      </c>
      <c r="I31" s="7"/>
      <c r="J31" s="16"/>
      <c r="K31" s="17"/>
      <c r="L31" s="17"/>
      <c r="M31" s="17"/>
      <c r="N31" s="17"/>
      <c r="O31" s="17"/>
      <c r="P31" s="17"/>
      <c r="Q31" s="18"/>
      <c r="R31" s="17"/>
      <c r="S31" s="18"/>
      <c r="T31" s="17"/>
      <c r="U31" s="18"/>
      <c r="V31" s="17"/>
      <c r="W31" s="23">
        <f t="shared" si="0"/>
        <v>0</v>
      </c>
    </row>
    <row r="32" spans="1:23">
      <c r="A32" s="4"/>
      <c r="B32" s="25"/>
      <c r="C32" s="49"/>
      <c r="D32" s="49"/>
      <c r="E32" s="5">
        <f t="shared" si="1"/>
        <v>0</v>
      </c>
      <c r="F32" s="5"/>
      <c r="G32" s="46"/>
      <c r="H32" s="6">
        <f t="shared" si="2"/>
        <v>0</v>
      </c>
      <c r="I32" s="7"/>
      <c r="J32" s="16"/>
      <c r="K32" s="17"/>
      <c r="L32" s="17"/>
      <c r="M32" s="17"/>
      <c r="N32" s="17"/>
      <c r="O32" s="17"/>
      <c r="P32" s="17"/>
      <c r="Q32" s="18"/>
      <c r="R32" s="17"/>
      <c r="S32" s="18"/>
      <c r="T32" s="17"/>
      <c r="U32" s="18"/>
      <c r="V32" s="17"/>
      <c r="W32" s="23">
        <f t="shared" si="0"/>
        <v>0</v>
      </c>
    </row>
    <row r="33" spans="1:23">
      <c r="A33" s="4"/>
      <c r="B33" s="8"/>
      <c r="C33" s="49"/>
      <c r="D33" s="49"/>
      <c r="E33" s="5">
        <f t="shared" si="1"/>
        <v>0</v>
      </c>
      <c r="F33" s="5"/>
      <c r="G33" s="46"/>
      <c r="H33" s="6">
        <f t="shared" si="2"/>
        <v>0</v>
      </c>
      <c r="I33" s="7"/>
      <c r="J33" s="16"/>
      <c r="K33" s="17"/>
      <c r="L33" s="17"/>
      <c r="M33" s="17"/>
      <c r="N33" s="17"/>
      <c r="O33" s="17"/>
      <c r="P33" s="17"/>
      <c r="Q33" s="18"/>
      <c r="R33" s="17"/>
      <c r="S33" s="18"/>
      <c r="T33" s="17"/>
      <c r="U33" s="18"/>
      <c r="V33" s="17"/>
      <c r="W33" s="23">
        <f t="shared" si="0"/>
        <v>0</v>
      </c>
    </row>
    <row r="34" spans="1:23">
      <c r="A34" s="4"/>
      <c r="B34" s="92"/>
      <c r="C34" s="49"/>
      <c r="D34" s="49"/>
      <c r="E34" s="5">
        <f t="shared" si="1"/>
        <v>0</v>
      </c>
      <c r="F34" s="5"/>
      <c r="G34" s="46"/>
      <c r="H34" s="6">
        <f t="shared" si="2"/>
        <v>0</v>
      </c>
      <c r="I34" s="7"/>
      <c r="J34" s="16"/>
      <c r="K34" s="17"/>
      <c r="L34" s="17"/>
      <c r="M34" s="17"/>
      <c r="N34" s="17"/>
      <c r="O34" s="17"/>
      <c r="P34" s="17"/>
      <c r="Q34" s="18"/>
      <c r="R34" s="17"/>
      <c r="S34" s="18"/>
      <c r="T34" s="17"/>
      <c r="U34" s="18"/>
      <c r="V34" s="17"/>
      <c r="W34" s="23">
        <f t="shared" si="0"/>
        <v>0</v>
      </c>
    </row>
    <row r="35" spans="1:23">
      <c r="A35" s="91" t="s">
        <v>150</v>
      </c>
      <c r="B35" s="93">
        <f>SUM(B4:B34)</f>
        <v>0</v>
      </c>
      <c r="C35" s="93">
        <f t="shared" ref="C35:G35" si="3">SUM(C4:C34)</f>
        <v>0</v>
      </c>
      <c r="D35" s="93">
        <f t="shared" si="3"/>
        <v>0</v>
      </c>
      <c r="E35" s="93">
        <f t="shared" si="3"/>
        <v>0</v>
      </c>
      <c r="F35" s="93">
        <f>F34</f>
        <v>0</v>
      </c>
      <c r="G35" s="93">
        <f t="shared" si="3"/>
        <v>0</v>
      </c>
      <c r="H35" s="97">
        <f>H34</f>
        <v>0</v>
      </c>
      <c r="I35" s="12">
        <f>SUM(I4:I34)</f>
        <v>0</v>
      </c>
      <c r="J35" s="12">
        <f>J34</f>
        <v>0</v>
      </c>
      <c r="K35" s="19">
        <f t="shared" ref="K35:W35" si="4">SUM(K4:K34)</f>
        <v>0</v>
      </c>
      <c r="L35" s="19">
        <f t="shared" si="4"/>
        <v>0</v>
      </c>
      <c r="M35" s="19">
        <f t="shared" si="4"/>
        <v>0</v>
      </c>
      <c r="N35" s="19">
        <f t="shared" si="4"/>
        <v>0</v>
      </c>
      <c r="O35" s="19">
        <f t="shared" si="4"/>
        <v>0</v>
      </c>
      <c r="P35" s="19">
        <f t="shared" si="4"/>
        <v>0</v>
      </c>
      <c r="Q35" s="19">
        <f t="shared" si="4"/>
        <v>0</v>
      </c>
      <c r="R35" s="19">
        <f t="shared" si="4"/>
        <v>0</v>
      </c>
      <c r="S35" s="19">
        <f t="shared" si="4"/>
        <v>0</v>
      </c>
      <c r="T35" s="19">
        <f t="shared" si="4"/>
        <v>0</v>
      </c>
      <c r="U35" s="19">
        <f t="shared" si="4"/>
        <v>0</v>
      </c>
      <c r="V35" s="19">
        <f t="shared" si="4"/>
        <v>0</v>
      </c>
      <c r="W35" s="19">
        <f t="shared" si="4"/>
        <v>0</v>
      </c>
    </row>
  </sheetData>
  <mergeCells count="2">
    <mergeCell ref="A1:I1"/>
    <mergeCell ref="J1:W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F22" sqref="F22"/>
    </sheetView>
  </sheetViews>
  <sheetFormatPr defaultColWidth="9.140625" defaultRowHeight="12.75"/>
  <cols>
    <col min="1" max="1" width="22.42578125" customWidth="1"/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2.85546875" customWidth="1"/>
    <col min="10" max="10" width="14" customWidth="1"/>
    <col min="11" max="11" width="13" customWidth="1"/>
  </cols>
  <sheetData>
    <row r="1" spans="1:23" ht="30.95" customHeight="1">
      <c r="A1" s="203"/>
      <c r="B1" s="203"/>
      <c r="C1" s="203"/>
      <c r="D1" s="203"/>
      <c r="E1" s="203"/>
      <c r="F1" s="203"/>
      <c r="G1" s="203"/>
      <c r="H1" s="203"/>
      <c r="I1" s="203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23" ht="51">
      <c r="A3" s="94" t="s">
        <v>130</v>
      </c>
      <c r="B3" s="94" t="s">
        <v>131</v>
      </c>
      <c r="C3" s="94" t="s">
        <v>151</v>
      </c>
      <c r="D3" s="94" t="s">
        <v>132</v>
      </c>
      <c r="E3" s="94" t="s">
        <v>133</v>
      </c>
      <c r="F3" s="94" t="s">
        <v>134</v>
      </c>
      <c r="G3" s="94" t="s">
        <v>135</v>
      </c>
      <c r="H3" s="94" t="s">
        <v>136</v>
      </c>
      <c r="I3" s="94" t="s">
        <v>137</v>
      </c>
      <c r="J3" s="95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3">
      <c r="A4" s="4"/>
      <c r="B4" s="25"/>
      <c r="C4" s="49"/>
      <c r="D4" s="49"/>
      <c r="E4" s="5">
        <f>+B4-D4-C4</f>
        <v>0</v>
      </c>
      <c r="F4" s="5"/>
      <c r="G4" s="46"/>
      <c r="H4" s="6">
        <f>G4</f>
        <v>0</v>
      </c>
      <c r="I4" s="7"/>
      <c r="J4" s="16"/>
      <c r="K4" s="17"/>
      <c r="L4" s="17"/>
      <c r="M4" s="17"/>
      <c r="N4" s="17"/>
      <c r="O4" s="17"/>
      <c r="P4" s="17"/>
      <c r="Q4" s="18"/>
      <c r="R4" s="17"/>
      <c r="S4" s="18"/>
      <c r="T4" s="17"/>
      <c r="U4" s="18"/>
      <c r="V4" s="17"/>
      <c r="W4" s="23">
        <f t="shared" ref="W4:W34" si="0">SUM(K4:V4)</f>
        <v>0</v>
      </c>
    </row>
    <row r="5" spans="1:23">
      <c r="A5" s="4"/>
      <c r="B5" s="25"/>
      <c r="C5" s="49"/>
      <c r="D5" s="49"/>
      <c r="E5" s="5">
        <f t="shared" ref="E5:E34" si="1">+B5-D5-C5</f>
        <v>0</v>
      </c>
      <c r="F5" s="5"/>
      <c r="G5" s="46"/>
      <c r="H5" s="6">
        <f>G5+H4</f>
        <v>0</v>
      </c>
      <c r="I5" s="7"/>
      <c r="J5" s="16"/>
      <c r="K5" s="17"/>
      <c r="L5" s="17"/>
      <c r="M5" s="17"/>
      <c r="N5" s="17"/>
      <c r="O5" s="17"/>
      <c r="P5" s="17"/>
      <c r="Q5" s="18"/>
      <c r="R5" s="17"/>
      <c r="S5" s="18"/>
      <c r="T5" s="17"/>
      <c r="U5" s="18"/>
      <c r="V5" s="17"/>
      <c r="W5" s="23">
        <f t="shared" si="0"/>
        <v>0</v>
      </c>
    </row>
    <row r="6" spans="1:23">
      <c r="A6" s="4"/>
      <c r="B6" s="25"/>
      <c r="C6" s="49"/>
      <c r="D6" s="49"/>
      <c r="E6" s="5">
        <f t="shared" si="1"/>
        <v>0</v>
      </c>
      <c r="F6" s="5"/>
      <c r="G6" s="46"/>
      <c r="H6" s="6">
        <f>G6+H5</f>
        <v>0</v>
      </c>
      <c r="I6" s="7"/>
      <c r="J6" s="16"/>
      <c r="K6" s="17"/>
      <c r="L6" s="17"/>
      <c r="M6" s="17"/>
      <c r="N6" s="17"/>
      <c r="O6" s="17"/>
      <c r="P6" s="17"/>
      <c r="Q6" s="18"/>
      <c r="R6" s="17"/>
      <c r="S6" s="18"/>
      <c r="T6" s="17"/>
      <c r="U6" s="18"/>
      <c r="V6" s="17"/>
      <c r="W6" s="23">
        <f t="shared" si="0"/>
        <v>0</v>
      </c>
    </row>
    <row r="7" spans="1:23">
      <c r="A7" s="4"/>
      <c r="B7" s="25"/>
      <c r="C7" s="49"/>
      <c r="D7" s="49"/>
      <c r="E7" s="5">
        <f t="shared" si="1"/>
        <v>0</v>
      </c>
      <c r="F7" s="5"/>
      <c r="G7" s="46"/>
      <c r="H7" s="6">
        <f t="shared" ref="H7:H34" si="2">G7+H6</f>
        <v>0</v>
      </c>
      <c r="I7" s="7"/>
      <c r="J7" s="16"/>
      <c r="K7" s="17"/>
      <c r="L7" s="17"/>
      <c r="M7" s="17"/>
      <c r="N7" s="17"/>
      <c r="O7" s="17"/>
      <c r="P7" s="17"/>
      <c r="Q7" s="18"/>
      <c r="R7" s="17"/>
      <c r="S7" s="18"/>
      <c r="T7" s="17"/>
      <c r="U7" s="18"/>
      <c r="V7" s="17"/>
      <c r="W7" s="23">
        <f t="shared" si="0"/>
        <v>0</v>
      </c>
    </row>
    <row r="8" spans="1:23">
      <c r="A8" s="4"/>
      <c r="B8" s="25"/>
      <c r="C8" s="49"/>
      <c r="D8" s="49"/>
      <c r="E8" s="5">
        <f t="shared" si="1"/>
        <v>0</v>
      </c>
      <c r="F8" s="5"/>
      <c r="G8" s="46"/>
      <c r="H8" s="6">
        <f t="shared" si="2"/>
        <v>0</v>
      </c>
      <c r="I8" s="7"/>
      <c r="J8" s="16"/>
      <c r="K8" s="17"/>
      <c r="L8" s="17"/>
      <c r="M8" s="17"/>
      <c r="N8" s="17"/>
      <c r="O8" s="17"/>
      <c r="P8" s="17"/>
      <c r="Q8" s="18"/>
      <c r="R8" s="17"/>
      <c r="S8" s="18"/>
      <c r="T8" s="17"/>
      <c r="U8" s="18"/>
      <c r="V8" s="17"/>
      <c r="W8" s="23">
        <f t="shared" si="0"/>
        <v>0</v>
      </c>
    </row>
    <row r="9" spans="1:23">
      <c r="A9" s="4"/>
      <c r="B9" s="25"/>
      <c r="C9" s="49"/>
      <c r="D9" s="49"/>
      <c r="E9" s="5">
        <f t="shared" si="1"/>
        <v>0</v>
      </c>
      <c r="F9" s="5"/>
      <c r="G9" s="46"/>
      <c r="H9" s="6">
        <f t="shared" si="2"/>
        <v>0</v>
      </c>
      <c r="I9" s="7"/>
      <c r="J9" s="16"/>
      <c r="K9" s="17"/>
      <c r="L9" s="17"/>
      <c r="M9" s="17"/>
      <c r="N9" s="17"/>
      <c r="O9" s="17"/>
      <c r="P9" s="17"/>
      <c r="Q9" s="18"/>
      <c r="R9" s="17"/>
      <c r="S9" s="18"/>
      <c r="T9" s="17"/>
      <c r="U9" s="18"/>
      <c r="V9" s="17"/>
      <c r="W9" s="23">
        <f t="shared" si="0"/>
        <v>0</v>
      </c>
    </row>
    <row r="10" spans="1:23">
      <c r="A10" s="4"/>
      <c r="B10" s="25"/>
      <c r="C10" s="49"/>
      <c r="D10" s="49"/>
      <c r="E10" s="5">
        <f t="shared" si="1"/>
        <v>0</v>
      </c>
      <c r="F10" s="5"/>
      <c r="G10" s="46"/>
      <c r="H10" s="6">
        <f t="shared" si="2"/>
        <v>0</v>
      </c>
      <c r="I10" s="7"/>
      <c r="J10" s="16"/>
      <c r="K10" s="17"/>
      <c r="L10" s="17"/>
      <c r="M10" s="17"/>
      <c r="N10" s="17"/>
      <c r="O10" s="17"/>
      <c r="P10" s="17"/>
      <c r="Q10" s="18"/>
      <c r="R10" s="17"/>
      <c r="S10" s="18"/>
      <c r="T10" s="17"/>
      <c r="U10" s="18"/>
      <c r="V10" s="17"/>
      <c r="W10" s="23">
        <f t="shared" si="0"/>
        <v>0</v>
      </c>
    </row>
    <row r="11" spans="1:23">
      <c r="A11" s="4"/>
      <c r="B11" s="26"/>
      <c r="C11" s="49"/>
      <c r="D11" s="49"/>
      <c r="E11" s="5">
        <f t="shared" si="1"/>
        <v>0</v>
      </c>
      <c r="F11" s="5"/>
      <c r="G11" s="46"/>
      <c r="H11" s="6">
        <f t="shared" si="2"/>
        <v>0</v>
      </c>
      <c r="I11" s="7"/>
      <c r="J11" s="16"/>
      <c r="K11" s="17"/>
      <c r="L11" s="17"/>
      <c r="M11" s="17"/>
      <c r="N11" s="17"/>
      <c r="O11" s="17"/>
      <c r="P11" s="17"/>
      <c r="Q11" s="18"/>
      <c r="R11" s="17"/>
      <c r="S11" s="18"/>
      <c r="T11" s="17"/>
      <c r="U11" s="18"/>
      <c r="V11" s="17"/>
      <c r="W11" s="23">
        <f t="shared" si="0"/>
        <v>0</v>
      </c>
    </row>
    <row r="12" spans="1:23">
      <c r="A12" s="4"/>
      <c r="B12" s="25"/>
      <c r="C12" s="49"/>
      <c r="D12" s="49"/>
      <c r="E12" s="5">
        <f t="shared" si="1"/>
        <v>0</v>
      </c>
      <c r="F12" s="5"/>
      <c r="G12" s="46"/>
      <c r="H12" s="6">
        <f t="shared" si="2"/>
        <v>0</v>
      </c>
      <c r="I12" s="7"/>
      <c r="J12" s="16"/>
      <c r="K12" s="17"/>
      <c r="L12" s="17"/>
      <c r="M12" s="17"/>
      <c r="N12" s="17"/>
      <c r="O12" s="17"/>
      <c r="P12" s="17"/>
      <c r="Q12" s="18"/>
      <c r="R12" s="17"/>
      <c r="S12" s="18"/>
      <c r="T12" s="17"/>
      <c r="U12" s="18"/>
      <c r="V12" s="17"/>
      <c r="W12" s="23">
        <f t="shared" si="0"/>
        <v>0</v>
      </c>
    </row>
    <row r="13" spans="1:23">
      <c r="A13" s="4"/>
      <c r="B13" s="9"/>
      <c r="C13" s="49"/>
      <c r="D13" s="49"/>
      <c r="E13" s="5">
        <f t="shared" si="1"/>
        <v>0</v>
      </c>
      <c r="F13" s="5"/>
      <c r="G13" s="46"/>
      <c r="H13" s="6">
        <f t="shared" si="2"/>
        <v>0</v>
      </c>
      <c r="I13" s="7"/>
      <c r="J13" s="16"/>
      <c r="K13" s="17"/>
      <c r="L13" s="17"/>
      <c r="M13" s="17"/>
      <c r="N13" s="17"/>
      <c r="O13" s="17"/>
      <c r="P13" s="17"/>
      <c r="Q13" s="18"/>
      <c r="R13" s="17"/>
      <c r="S13" s="18"/>
      <c r="T13" s="17"/>
      <c r="U13" s="18"/>
      <c r="V13" s="17"/>
      <c r="W13" s="23">
        <f t="shared" si="0"/>
        <v>0</v>
      </c>
    </row>
    <row r="14" spans="1:23">
      <c r="A14" s="4"/>
      <c r="B14" s="9"/>
      <c r="C14" s="49"/>
      <c r="D14" s="49"/>
      <c r="E14" s="5">
        <f t="shared" si="1"/>
        <v>0</v>
      </c>
      <c r="F14" s="5"/>
      <c r="G14" s="46"/>
      <c r="H14" s="6">
        <f t="shared" si="2"/>
        <v>0</v>
      </c>
      <c r="I14" s="7"/>
      <c r="J14" s="16"/>
      <c r="K14" s="17"/>
      <c r="L14" s="17"/>
      <c r="M14" s="17"/>
      <c r="N14" s="17"/>
      <c r="O14" s="17"/>
      <c r="P14" s="17"/>
      <c r="Q14" s="18"/>
      <c r="R14" s="17"/>
      <c r="S14" s="18"/>
      <c r="T14" s="17"/>
      <c r="U14" s="18"/>
      <c r="V14" s="17"/>
      <c r="W14" s="23">
        <f t="shared" si="0"/>
        <v>0</v>
      </c>
    </row>
    <row r="15" spans="1:23">
      <c r="A15" s="4"/>
      <c r="B15" s="10"/>
      <c r="C15" s="49"/>
      <c r="D15" s="49"/>
      <c r="E15" s="5">
        <f t="shared" si="1"/>
        <v>0</v>
      </c>
      <c r="F15" s="5"/>
      <c r="G15" s="46"/>
      <c r="H15" s="6">
        <f t="shared" si="2"/>
        <v>0</v>
      </c>
      <c r="I15" s="7"/>
      <c r="J15" s="16"/>
      <c r="K15" s="17"/>
      <c r="L15" s="17"/>
      <c r="M15" s="17"/>
      <c r="N15" s="17"/>
      <c r="O15" s="17"/>
      <c r="P15" s="17"/>
      <c r="Q15" s="18"/>
      <c r="R15" s="17"/>
      <c r="S15" s="18"/>
      <c r="T15" s="17"/>
      <c r="U15" s="18"/>
      <c r="V15" s="17"/>
      <c r="W15" s="23">
        <f t="shared" si="0"/>
        <v>0</v>
      </c>
    </row>
    <row r="16" spans="1:23">
      <c r="A16" s="4"/>
      <c r="B16" s="25"/>
      <c r="C16" s="49"/>
      <c r="D16" s="49"/>
      <c r="E16" s="5">
        <f t="shared" si="1"/>
        <v>0</v>
      </c>
      <c r="F16" s="5"/>
      <c r="G16" s="46"/>
      <c r="H16" s="6">
        <f t="shared" si="2"/>
        <v>0</v>
      </c>
      <c r="I16" s="7"/>
      <c r="J16" s="16"/>
      <c r="K16" s="17"/>
      <c r="L16" s="17"/>
      <c r="M16" s="17"/>
      <c r="N16" s="17"/>
      <c r="O16" s="17"/>
      <c r="P16" s="17"/>
      <c r="Q16" s="18"/>
      <c r="R16" s="17"/>
      <c r="S16" s="18"/>
      <c r="T16" s="17"/>
      <c r="U16" s="18"/>
      <c r="V16" s="17"/>
      <c r="W16" s="23">
        <f t="shared" si="0"/>
        <v>0</v>
      </c>
    </row>
    <row r="17" spans="1:23">
      <c r="A17" s="4"/>
      <c r="B17" s="25"/>
      <c r="C17" s="49"/>
      <c r="D17" s="49"/>
      <c r="E17" s="5">
        <f t="shared" si="1"/>
        <v>0</v>
      </c>
      <c r="F17" s="5"/>
      <c r="G17" s="46"/>
      <c r="H17" s="6">
        <f t="shared" si="2"/>
        <v>0</v>
      </c>
      <c r="I17" s="7"/>
      <c r="J17" s="16"/>
      <c r="K17" s="17"/>
      <c r="L17" s="17"/>
      <c r="M17" s="17"/>
      <c r="N17" s="17"/>
      <c r="O17" s="17"/>
      <c r="P17" s="17"/>
      <c r="Q17" s="18"/>
      <c r="R17" s="17"/>
      <c r="S17" s="18"/>
      <c r="T17" s="17"/>
      <c r="U17" s="18"/>
      <c r="V17" s="17"/>
      <c r="W17" s="23">
        <f t="shared" si="0"/>
        <v>0</v>
      </c>
    </row>
    <row r="18" spans="1:23">
      <c r="A18" s="4"/>
      <c r="B18" s="25"/>
      <c r="C18" s="49"/>
      <c r="D18" s="49"/>
      <c r="E18" s="5">
        <f t="shared" si="1"/>
        <v>0</v>
      </c>
      <c r="F18" s="5"/>
      <c r="G18" s="46"/>
      <c r="H18" s="6">
        <f t="shared" si="2"/>
        <v>0</v>
      </c>
      <c r="I18" s="7"/>
      <c r="J18" s="16"/>
      <c r="K18" s="17"/>
      <c r="L18" s="17"/>
      <c r="M18" s="17"/>
      <c r="N18" s="17"/>
      <c r="O18" s="17"/>
      <c r="P18" s="17"/>
      <c r="Q18" s="18"/>
      <c r="R18" s="17"/>
      <c r="S18" s="18"/>
      <c r="T18" s="17"/>
      <c r="U18" s="18"/>
      <c r="V18" s="17"/>
      <c r="W18" s="23">
        <f t="shared" si="0"/>
        <v>0</v>
      </c>
    </row>
    <row r="19" spans="1:23">
      <c r="A19" s="4"/>
      <c r="B19" s="25"/>
      <c r="C19" s="49"/>
      <c r="D19" s="49"/>
      <c r="E19" s="5">
        <f t="shared" si="1"/>
        <v>0</v>
      </c>
      <c r="F19" s="5"/>
      <c r="G19" s="46"/>
      <c r="H19" s="6">
        <f t="shared" si="2"/>
        <v>0</v>
      </c>
      <c r="I19" s="7"/>
      <c r="J19" s="16"/>
      <c r="K19" s="17"/>
      <c r="L19" s="17"/>
      <c r="M19" s="17"/>
      <c r="N19" s="17"/>
      <c r="O19" s="17"/>
      <c r="P19" s="17"/>
      <c r="Q19" s="18"/>
      <c r="R19" s="17"/>
      <c r="S19" s="18"/>
      <c r="T19" s="17"/>
      <c r="U19" s="18"/>
      <c r="V19" s="17"/>
      <c r="W19" s="23">
        <f t="shared" si="0"/>
        <v>0</v>
      </c>
    </row>
    <row r="20" spans="1:23">
      <c r="A20" s="4"/>
      <c r="B20" s="25"/>
      <c r="C20" s="49"/>
      <c r="D20" s="49"/>
      <c r="E20" s="5">
        <f t="shared" si="1"/>
        <v>0</v>
      </c>
      <c r="F20" s="5"/>
      <c r="G20" s="46"/>
      <c r="H20" s="6">
        <f t="shared" si="2"/>
        <v>0</v>
      </c>
      <c r="I20" s="7"/>
      <c r="J20" s="16"/>
      <c r="K20" s="17"/>
      <c r="L20" s="17"/>
      <c r="M20" s="17"/>
      <c r="N20" s="17"/>
      <c r="O20" s="17"/>
      <c r="P20" s="17"/>
      <c r="Q20" s="18"/>
      <c r="R20" s="17"/>
      <c r="S20" s="18"/>
      <c r="T20" s="17"/>
      <c r="U20" s="18"/>
      <c r="V20" s="17"/>
      <c r="W20" s="23">
        <f t="shared" si="0"/>
        <v>0</v>
      </c>
    </row>
    <row r="21" spans="1:23">
      <c r="A21" s="4"/>
      <c r="B21" s="50"/>
      <c r="C21" s="49"/>
      <c r="D21" s="49"/>
      <c r="E21" s="5">
        <f t="shared" si="1"/>
        <v>0</v>
      </c>
      <c r="F21" s="5"/>
      <c r="G21" s="47"/>
      <c r="H21" s="6">
        <f t="shared" si="2"/>
        <v>0</v>
      </c>
      <c r="I21" s="7"/>
      <c r="J21" s="16"/>
      <c r="K21" s="17"/>
      <c r="L21" s="17"/>
      <c r="M21" s="17"/>
      <c r="N21" s="17"/>
      <c r="O21" s="17"/>
      <c r="P21" s="17"/>
      <c r="Q21" s="18"/>
      <c r="R21" s="17"/>
      <c r="S21" s="18"/>
      <c r="T21" s="17"/>
      <c r="U21" s="18"/>
      <c r="V21" s="17"/>
      <c r="W21" s="23">
        <f t="shared" si="0"/>
        <v>0</v>
      </c>
    </row>
    <row r="22" spans="1:23">
      <c r="A22" s="4"/>
      <c r="B22" s="25"/>
      <c r="C22" s="49"/>
      <c r="D22" s="49"/>
      <c r="E22" s="5">
        <f t="shared" si="1"/>
        <v>0</v>
      </c>
      <c r="F22" s="5"/>
      <c r="G22" s="46"/>
      <c r="H22" s="6">
        <f t="shared" si="2"/>
        <v>0</v>
      </c>
      <c r="I22" s="7"/>
      <c r="J22" s="16"/>
      <c r="K22" s="17"/>
      <c r="L22" s="17"/>
      <c r="M22" s="17"/>
      <c r="N22" s="17"/>
      <c r="O22" s="17"/>
      <c r="P22" s="17"/>
      <c r="Q22" s="18"/>
      <c r="R22" s="17"/>
      <c r="S22" s="18"/>
      <c r="T22" s="17"/>
      <c r="U22" s="18"/>
      <c r="V22" s="17"/>
      <c r="W22" s="23">
        <f t="shared" si="0"/>
        <v>0</v>
      </c>
    </row>
    <row r="23" spans="1:23">
      <c r="A23" s="4"/>
      <c r="B23" s="25"/>
      <c r="C23" s="49"/>
      <c r="D23" s="49"/>
      <c r="E23" s="5">
        <f t="shared" si="1"/>
        <v>0</v>
      </c>
      <c r="F23" s="5"/>
      <c r="G23" s="46"/>
      <c r="H23" s="6">
        <f t="shared" si="2"/>
        <v>0</v>
      </c>
      <c r="I23" s="7"/>
      <c r="J23" s="16"/>
      <c r="K23" s="17"/>
      <c r="L23" s="17"/>
      <c r="M23" s="17"/>
      <c r="N23" s="17"/>
      <c r="O23" s="17"/>
      <c r="P23" s="17"/>
      <c r="Q23" s="18"/>
      <c r="R23" s="17"/>
      <c r="S23" s="18"/>
      <c r="T23" s="17"/>
      <c r="U23" s="18"/>
      <c r="V23" s="17"/>
      <c r="W23" s="23">
        <f t="shared" si="0"/>
        <v>0</v>
      </c>
    </row>
    <row r="24" spans="1:23">
      <c r="A24" s="4"/>
      <c r="B24" s="25"/>
      <c r="C24" s="49"/>
      <c r="D24" s="49"/>
      <c r="E24" s="5">
        <f t="shared" si="1"/>
        <v>0</v>
      </c>
      <c r="F24" s="5"/>
      <c r="G24" s="46"/>
      <c r="H24" s="6">
        <f t="shared" si="2"/>
        <v>0</v>
      </c>
      <c r="I24" s="7"/>
      <c r="J24" s="16"/>
      <c r="K24" s="17"/>
      <c r="L24" s="17"/>
      <c r="M24" s="17"/>
      <c r="N24" s="17"/>
      <c r="O24" s="17"/>
      <c r="P24" s="17"/>
      <c r="Q24" s="18"/>
      <c r="R24" s="17"/>
      <c r="S24" s="18"/>
      <c r="T24" s="17"/>
      <c r="U24" s="18"/>
      <c r="V24" s="17"/>
      <c r="W24" s="23">
        <f t="shared" si="0"/>
        <v>0</v>
      </c>
    </row>
    <row r="25" spans="1:23">
      <c r="A25" s="4"/>
      <c r="B25" s="25"/>
      <c r="C25" s="49"/>
      <c r="D25" s="49"/>
      <c r="E25" s="5">
        <f t="shared" si="1"/>
        <v>0</v>
      </c>
      <c r="F25" s="5"/>
      <c r="G25" s="46"/>
      <c r="H25" s="6">
        <f t="shared" si="2"/>
        <v>0</v>
      </c>
      <c r="I25" s="7"/>
      <c r="J25" s="16"/>
      <c r="K25" s="17"/>
      <c r="L25" s="17"/>
      <c r="M25" s="17"/>
      <c r="N25" s="17"/>
      <c r="O25" s="17"/>
      <c r="P25" s="17"/>
      <c r="Q25" s="18"/>
      <c r="R25" s="17"/>
      <c r="S25" s="18"/>
      <c r="T25" s="17"/>
      <c r="U25" s="18"/>
      <c r="V25" s="17"/>
      <c r="W25" s="23">
        <f t="shared" si="0"/>
        <v>0</v>
      </c>
    </row>
    <row r="26" spans="1:23">
      <c r="A26" s="4"/>
      <c r="B26" s="25"/>
      <c r="C26" s="49"/>
      <c r="D26" s="49"/>
      <c r="E26" s="5">
        <f t="shared" si="1"/>
        <v>0</v>
      </c>
      <c r="F26" s="5"/>
      <c r="G26" s="48"/>
      <c r="H26" s="6">
        <f t="shared" si="2"/>
        <v>0</v>
      </c>
      <c r="I26" s="7"/>
      <c r="J26" s="16"/>
      <c r="K26" s="17"/>
      <c r="L26" s="17"/>
      <c r="M26" s="17"/>
      <c r="N26" s="17"/>
      <c r="O26" s="17"/>
      <c r="P26" s="17"/>
      <c r="Q26" s="18"/>
      <c r="R26" s="17"/>
      <c r="S26" s="18"/>
      <c r="T26" s="17"/>
      <c r="U26" s="18"/>
      <c r="V26" s="17"/>
      <c r="W26" s="23">
        <f t="shared" si="0"/>
        <v>0</v>
      </c>
    </row>
    <row r="27" spans="1:23">
      <c r="A27" s="4"/>
      <c r="B27" s="25"/>
      <c r="C27" s="49"/>
      <c r="D27" s="49"/>
      <c r="E27" s="5">
        <f t="shared" si="1"/>
        <v>0</v>
      </c>
      <c r="F27" s="5"/>
      <c r="G27" s="46"/>
      <c r="H27" s="6">
        <f t="shared" si="2"/>
        <v>0</v>
      </c>
      <c r="I27" s="7"/>
      <c r="J27" s="16"/>
      <c r="K27" s="17"/>
      <c r="L27" s="17"/>
      <c r="M27" s="17"/>
      <c r="N27" s="17"/>
      <c r="O27" s="17"/>
      <c r="P27" s="17"/>
      <c r="Q27" s="18"/>
      <c r="R27" s="17"/>
      <c r="S27" s="18"/>
      <c r="T27" s="17"/>
      <c r="U27" s="18"/>
      <c r="V27" s="17"/>
      <c r="W27" s="23">
        <f t="shared" si="0"/>
        <v>0</v>
      </c>
    </row>
    <row r="28" spans="1:23">
      <c r="A28" s="4"/>
      <c r="B28" s="25"/>
      <c r="C28" s="49"/>
      <c r="D28" s="49"/>
      <c r="E28" s="5">
        <f t="shared" si="1"/>
        <v>0</v>
      </c>
      <c r="F28" s="5"/>
      <c r="G28" s="46"/>
      <c r="H28" s="6">
        <f t="shared" si="2"/>
        <v>0</v>
      </c>
      <c r="I28" s="7"/>
      <c r="J28" s="16"/>
      <c r="K28" s="17"/>
      <c r="L28" s="17"/>
      <c r="M28" s="17"/>
      <c r="N28" s="17"/>
      <c r="O28" s="17"/>
      <c r="P28" s="17"/>
      <c r="Q28" s="18"/>
      <c r="R28" s="17"/>
      <c r="S28" s="18"/>
      <c r="T28" s="17"/>
      <c r="U28" s="18"/>
      <c r="V28" s="17"/>
      <c r="W28" s="23">
        <f t="shared" si="0"/>
        <v>0</v>
      </c>
    </row>
    <row r="29" spans="1:23">
      <c r="A29" s="4"/>
      <c r="B29" s="25"/>
      <c r="C29" s="49"/>
      <c r="D29" s="49"/>
      <c r="E29" s="5">
        <f t="shared" si="1"/>
        <v>0</v>
      </c>
      <c r="F29" s="5"/>
      <c r="G29" s="46"/>
      <c r="H29" s="6">
        <f t="shared" si="2"/>
        <v>0</v>
      </c>
      <c r="I29" s="7"/>
      <c r="J29" s="16"/>
      <c r="K29" s="17"/>
      <c r="L29" s="17"/>
      <c r="M29" s="17"/>
      <c r="N29" s="17"/>
      <c r="O29" s="17"/>
      <c r="P29" s="17"/>
      <c r="Q29" s="18"/>
      <c r="R29" s="17"/>
      <c r="S29" s="18"/>
      <c r="T29" s="17"/>
      <c r="U29" s="18"/>
      <c r="V29" s="17"/>
      <c r="W29" s="23">
        <f t="shared" si="0"/>
        <v>0</v>
      </c>
    </row>
    <row r="30" spans="1:23">
      <c r="A30" s="4"/>
      <c r="B30" s="25"/>
      <c r="C30" s="49"/>
      <c r="D30" s="49"/>
      <c r="E30" s="5">
        <f t="shared" si="1"/>
        <v>0</v>
      </c>
      <c r="F30" s="5"/>
      <c r="G30" s="46"/>
      <c r="H30" s="6">
        <f t="shared" si="2"/>
        <v>0</v>
      </c>
      <c r="I30" s="7"/>
      <c r="J30" s="16"/>
      <c r="K30" s="17"/>
      <c r="L30" s="17"/>
      <c r="M30" s="17"/>
      <c r="N30" s="17"/>
      <c r="O30" s="17"/>
      <c r="P30" s="17"/>
      <c r="Q30" s="18"/>
      <c r="R30" s="17"/>
      <c r="S30" s="18"/>
      <c r="T30" s="17"/>
      <c r="U30" s="18"/>
      <c r="V30" s="17"/>
      <c r="W30" s="23">
        <f t="shared" si="0"/>
        <v>0</v>
      </c>
    </row>
    <row r="31" spans="1:23">
      <c r="A31" s="4"/>
      <c r="B31" s="25"/>
      <c r="C31" s="49"/>
      <c r="D31" s="49"/>
      <c r="E31" s="5">
        <f t="shared" si="1"/>
        <v>0</v>
      </c>
      <c r="F31" s="5"/>
      <c r="G31" s="46"/>
      <c r="H31" s="6">
        <f>G31+H30</f>
        <v>0</v>
      </c>
      <c r="I31" s="7"/>
      <c r="J31" s="16"/>
      <c r="K31" s="17"/>
      <c r="L31" s="17"/>
      <c r="M31" s="17"/>
      <c r="N31" s="17"/>
      <c r="O31" s="17"/>
      <c r="P31" s="17"/>
      <c r="Q31" s="18"/>
      <c r="R31" s="17"/>
      <c r="S31" s="18"/>
      <c r="T31" s="17"/>
      <c r="U31" s="18"/>
      <c r="V31" s="17"/>
      <c r="W31" s="23">
        <f t="shared" si="0"/>
        <v>0</v>
      </c>
    </row>
    <row r="32" spans="1:23">
      <c r="A32" s="4"/>
      <c r="B32" s="25"/>
      <c r="C32" s="49"/>
      <c r="D32" s="49"/>
      <c r="E32" s="5">
        <f t="shared" si="1"/>
        <v>0</v>
      </c>
      <c r="F32" s="5"/>
      <c r="G32" s="46"/>
      <c r="H32" s="6">
        <f t="shared" si="2"/>
        <v>0</v>
      </c>
      <c r="I32" s="7"/>
      <c r="J32" s="16"/>
      <c r="K32" s="17"/>
      <c r="L32" s="17"/>
      <c r="M32" s="17"/>
      <c r="N32" s="17"/>
      <c r="O32" s="17"/>
      <c r="P32" s="17"/>
      <c r="Q32" s="18"/>
      <c r="R32" s="17"/>
      <c r="S32" s="18"/>
      <c r="T32" s="17"/>
      <c r="U32" s="18"/>
      <c r="V32" s="17"/>
      <c r="W32" s="23">
        <f t="shared" si="0"/>
        <v>0</v>
      </c>
    </row>
    <row r="33" spans="1:23">
      <c r="A33" s="4"/>
      <c r="B33" s="8"/>
      <c r="C33" s="49"/>
      <c r="D33" s="49"/>
      <c r="E33" s="5">
        <f t="shared" si="1"/>
        <v>0</v>
      </c>
      <c r="F33" s="5"/>
      <c r="G33" s="46"/>
      <c r="H33" s="6">
        <f t="shared" si="2"/>
        <v>0</v>
      </c>
      <c r="I33" s="7"/>
      <c r="J33" s="16"/>
      <c r="K33" s="17"/>
      <c r="L33" s="17"/>
      <c r="M33" s="17"/>
      <c r="N33" s="17"/>
      <c r="O33" s="17"/>
      <c r="P33" s="17"/>
      <c r="Q33" s="18"/>
      <c r="R33" s="17"/>
      <c r="S33" s="18"/>
      <c r="T33" s="17"/>
      <c r="U33" s="18"/>
      <c r="V33" s="17"/>
      <c r="W33" s="23">
        <f t="shared" si="0"/>
        <v>0</v>
      </c>
    </row>
    <row r="34" spans="1:23">
      <c r="A34" s="4"/>
      <c r="B34" s="92"/>
      <c r="C34" s="49"/>
      <c r="D34" s="49"/>
      <c r="E34" s="5">
        <f t="shared" si="1"/>
        <v>0</v>
      </c>
      <c r="F34" s="5"/>
      <c r="G34" s="46"/>
      <c r="H34" s="6">
        <f t="shared" si="2"/>
        <v>0</v>
      </c>
      <c r="I34" s="7"/>
      <c r="J34" s="16"/>
      <c r="K34" s="17"/>
      <c r="L34" s="17"/>
      <c r="M34" s="17"/>
      <c r="N34" s="17"/>
      <c r="O34" s="17"/>
      <c r="P34" s="17"/>
      <c r="Q34" s="18"/>
      <c r="R34" s="17"/>
      <c r="S34" s="18"/>
      <c r="T34" s="17"/>
      <c r="U34" s="18"/>
      <c r="V34" s="17"/>
      <c r="W34" s="23">
        <f t="shared" si="0"/>
        <v>0</v>
      </c>
    </row>
    <row r="35" spans="1:23">
      <c r="A35" s="91" t="s">
        <v>150</v>
      </c>
      <c r="B35" s="93">
        <f>SUM(B4:B34)</f>
        <v>0</v>
      </c>
      <c r="C35" s="93">
        <f t="shared" ref="C35:G35" si="3">SUM(C4:C34)</f>
        <v>0</v>
      </c>
      <c r="D35" s="93">
        <f t="shared" si="3"/>
        <v>0</v>
      </c>
      <c r="E35" s="93">
        <f t="shared" si="3"/>
        <v>0</v>
      </c>
      <c r="F35" s="93">
        <f>F34</f>
        <v>0</v>
      </c>
      <c r="G35" s="93">
        <f t="shared" si="3"/>
        <v>0</v>
      </c>
      <c r="H35" s="97">
        <f>H34</f>
        <v>0</v>
      </c>
      <c r="I35" s="12">
        <f>SUM(I4:I34)</f>
        <v>0</v>
      </c>
      <c r="J35" s="12">
        <f>J34</f>
        <v>0</v>
      </c>
      <c r="K35" s="19">
        <f t="shared" ref="K35:W35" si="4">SUM(K4:K34)</f>
        <v>0</v>
      </c>
      <c r="L35" s="19">
        <f t="shared" si="4"/>
        <v>0</v>
      </c>
      <c r="M35" s="19">
        <f t="shared" si="4"/>
        <v>0</v>
      </c>
      <c r="N35" s="19">
        <f t="shared" si="4"/>
        <v>0</v>
      </c>
      <c r="O35" s="19">
        <f t="shared" si="4"/>
        <v>0</v>
      </c>
      <c r="P35" s="19">
        <f t="shared" si="4"/>
        <v>0</v>
      </c>
      <c r="Q35" s="19">
        <f t="shared" si="4"/>
        <v>0</v>
      </c>
      <c r="R35" s="19">
        <f t="shared" si="4"/>
        <v>0</v>
      </c>
      <c r="S35" s="19">
        <f t="shared" si="4"/>
        <v>0</v>
      </c>
      <c r="T35" s="19">
        <f t="shared" si="4"/>
        <v>0</v>
      </c>
      <c r="U35" s="19">
        <f t="shared" si="4"/>
        <v>0</v>
      </c>
      <c r="V35" s="19">
        <f t="shared" si="4"/>
        <v>0</v>
      </c>
      <c r="W35" s="19">
        <f t="shared" si="4"/>
        <v>0</v>
      </c>
    </row>
  </sheetData>
  <mergeCells count="2">
    <mergeCell ref="A1:I1"/>
    <mergeCell ref="J1:W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F21" sqref="F21"/>
    </sheetView>
  </sheetViews>
  <sheetFormatPr defaultColWidth="9.140625" defaultRowHeight="12.75"/>
  <cols>
    <col min="1" max="1" width="22.42578125" customWidth="1"/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2.85546875" customWidth="1"/>
    <col min="10" max="10" width="14" customWidth="1"/>
    <col min="11" max="11" width="13" customWidth="1"/>
  </cols>
  <sheetData>
    <row r="1" spans="1:23" ht="30.95" customHeight="1">
      <c r="A1" s="203"/>
      <c r="B1" s="203"/>
      <c r="C1" s="203"/>
      <c r="D1" s="203"/>
      <c r="E1" s="203"/>
      <c r="F1" s="203"/>
      <c r="G1" s="203"/>
      <c r="H1" s="203"/>
      <c r="I1" s="203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23" ht="51">
      <c r="A3" s="94" t="s">
        <v>130</v>
      </c>
      <c r="B3" s="94" t="s">
        <v>131</v>
      </c>
      <c r="C3" s="94" t="s">
        <v>151</v>
      </c>
      <c r="D3" s="94" t="s">
        <v>132</v>
      </c>
      <c r="E3" s="94" t="s">
        <v>133</v>
      </c>
      <c r="F3" s="94" t="s">
        <v>134</v>
      </c>
      <c r="G3" s="94" t="s">
        <v>135</v>
      </c>
      <c r="H3" s="94" t="s">
        <v>136</v>
      </c>
      <c r="I3" s="94" t="s">
        <v>137</v>
      </c>
      <c r="J3" s="95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3">
      <c r="A4" s="4"/>
      <c r="B4" s="25"/>
      <c r="C4" s="49"/>
      <c r="D4" s="49"/>
      <c r="E4" s="5">
        <f>+B4-D4-C4</f>
        <v>0</v>
      </c>
      <c r="F4" s="5"/>
      <c r="G4" s="46"/>
      <c r="H4" s="6">
        <f>G4</f>
        <v>0</v>
      </c>
      <c r="I4" s="7"/>
      <c r="J4" s="16"/>
      <c r="K4" s="17"/>
      <c r="L4" s="17"/>
      <c r="M4" s="17"/>
      <c r="N4" s="17"/>
      <c r="O4" s="17"/>
      <c r="P4" s="17"/>
      <c r="Q4" s="18"/>
      <c r="R4" s="17"/>
      <c r="S4" s="18"/>
      <c r="T4" s="17"/>
      <c r="U4" s="18"/>
      <c r="V4" s="17"/>
      <c r="W4" s="23">
        <f t="shared" ref="W4:W34" si="0">SUM(K4:V4)</f>
        <v>0</v>
      </c>
    </row>
    <row r="5" spans="1:23">
      <c r="A5" s="4"/>
      <c r="B5" s="25"/>
      <c r="C5" s="49"/>
      <c r="D5" s="49"/>
      <c r="E5" s="5">
        <f t="shared" ref="E5:E34" si="1">+B5-D5-C5</f>
        <v>0</v>
      </c>
      <c r="F5" s="5"/>
      <c r="G5" s="46"/>
      <c r="H5" s="6">
        <f>G5+H4</f>
        <v>0</v>
      </c>
      <c r="I5" s="7"/>
      <c r="J5" s="16"/>
      <c r="K5" s="17"/>
      <c r="L5" s="17"/>
      <c r="M5" s="17"/>
      <c r="N5" s="17"/>
      <c r="O5" s="17"/>
      <c r="P5" s="17"/>
      <c r="Q5" s="18"/>
      <c r="R5" s="17"/>
      <c r="S5" s="18"/>
      <c r="T5" s="17"/>
      <c r="U5" s="18"/>
      <c r="V5" s="17"/>
      <c r="W5" s="23">
        <f t="shared" si="0"/>
        <v>0</v>
      </c>
    </row>
    <row r="6" spans="1:23">
      <c r="A6" s="4"/>
      <c r="B6" s="25"/>
      <c r="C6" s="49"/>
      <c r="D6" s="49"/>
      <c r="E6" s="5">
        <f t="shared" si="1"/>
        <v>0</v>
      </c>
      <c r="F6" s="5"/>
      <c r="G6" s="46"/>
      <c r="H6" s="6">
        <f>G6+H5</f>
        <v>0</v>
      </c>
      <c r="I6" s="7"/>
      <c r="J6" s="16"/>
      <c r="K6" s="17"/>
      <c r="L6" s="17"/>
      <c r="M6" s="17"/>
      <c r="N6" s="17"/>
      <c r="O6" s="17"/>
      <c r="P6" s="17"/>
      <c r="Q6" s="18"/>
      <c r="R6" s="17"/>
      <c r="S6" s="18"/>
      <c r="T6" s="17"/>
      <c r="U6" s="18"/>
      <c r="V6" s="17"/>
      <c r="W6" s="23">
        <f t="shared" si="0"/>
        <v>0</v>
      </c>
    </row>
    <row r="7" spans="1:23">
      <c r="A7" s="4"/>
      <c r="B7" s="25"/>
      <c r="C7" s="49"/>
      <c r="D7" s="49"/>
      <c r="E7" s="5">
        <f t="shared" si="1"/>
        <v>0</v>
      </c>
      <c r="F7" s="5"/>
      <c r="G7" s="46"/>
      <c r="H7" s="6">
        <f t="shared" ref="H7:H34" si="2">G7+H6</f>
        <v>0</v>
      </c>
      <c r="I7" s="7"/>
      <c r="J7" s="16"/>
      <c r="K7" s="17"/>
      <c r="L7" s="17"/>
      <c r="M7" s="17"/>
      <c r="N7" s="17"/>
      <c r="O7" s="17"/>
      <c r="P7" s="17"/>
      <c r="Q7" s="18"/>
      <c r="R7" s="17"/>
      <c r="S7" s="18"/>
      <c r="T7" s="17"/>
      <c r="U7" s="18"/>
      <c r="V7" s="17"/>
      <c r="W7" s="23">
        <f t="shared" si="0"/>
        <v>0</v>
      </c>
    </row>
    <row r="8" spans="1:23">
      <c r="A8" s="4"/>
      <c r="B8" s="25"/>
      <c r="C8" s="49"/>
      <c r="D8" s="49"/>
      <c r="E8" s="5">
        <f t="shared" si="1"/>
        <v>0</v>
      </c>
      <c r="F8" s="5"/>
      <c r="G8" s="46"/>
      <c r="H8" s="6">
        <f t="shared" si="2"/>
        <v>0</v>
      </c>
      <c r="I8" s="7"/>
      <c r="J8" s="16"/>
      <c r="K8" s="17"/>
      <c r="L8" s="17"/>
      <c r="M8" s="17"/>
      <c r="N8" s="17"/>
      <c r="O8" s="17"/>
      <c r="P8" s="17"/>
      <c r="Q8" s="18"/>
      <c r="R8" s="17"/>
      <c r="S8" s="18"/>
      <c r="T8" s="17"/>
      <c r="U8" s="18"/>
      <c r="V8" s="17"/>
      <c r="W8" s="23">
        <f t="shared" si="0"/>
        <v>0</v>
      </c>
    </row>
    <row r="9" spans="1:23">
      <c r="A9" s="4"/>
      <c r="B9" s="25"/>
      <c r="C9" s="49"/>
      <c r="D9" s="49"/>
      <c r="E9" s="5">
        <f t="shared" si="1"/>
        <v>0</v>
      </c>
      <c r="F9" s="5"/>
      <c r="G9" s="46"/>
      <c r="H9" s="6">
        <f t="shared" si="2"/>
        <v>0</v>
      </c>
      <c r="I9" s="7"/>
      <c r="J9" s="16"/>
      <c r="K9" s="17"/>
      <c r="L9" s="17"/>
      <c r="M9" s="17"/>
      <c r="N9" s="17"/>
      <c r="O9" s="17"/>
      <c r="P9" s="17"/>
      <c r="Q9" s="18"/>
      <c r="R9" s="17"/>
      <c r="S9" s="18"/>
      <c r="T9" s="17"/>
      <c r="U9" s="18"/>
      <c r="V9" s="17"/>
      <c r="W9" s="23">
        <f t="shared" si="0"/>
        <v>0</v>
      </c>
    </row>
    <row r="10" spans="1:23">
      <c r="A10" s="4"/>
      <c r="B10" s="25"/>
      <c r="C10" s="49"/>
      <c r="D10" s="49"/>
      <c r="E10" s="5">
        <f t="shared" si="1"/>
        <v>0</v>
      </c>
      <c r="F10" s="5"/>
      <c r="G10" s="46"/>
      <c r="H10" s="6">
        <f t="shared" si="2"/>
        <v>0</v>
      </c>
      <c r="I10" s="7"/>
      <c r="J10" s="16"/>
      <c r="K10" s="17"/>
      <c r="L10" s="17"/>
      <c r="M10" s="17"/>
      <c r="N10" s="17"/>
      <c r="O10" s="17"/>
      <c r="P10" s="17"/>
      <c r="Q10" s="18"/>
      <c r="R10" s="17"/>
      <c r="S10" s="18"/>
      <c r="T10" s="17"/>
      <c r="U10" s="18"/>
      <c r="V10" s="17"/>
      <c r="W10" s="23">
        <f t="shared" si="0"/>
        <v>0</v>
      </c>
    </row>
    <row r="11" spans="1:23">
      <c r="A11" s="4"/>
      <c r="B11" s="26"/>
      <c r="C11" s="49"/>
      <c r="D11" s="49"/>
      <c r="E11" s="5">
        <f t="shared" si="1"/>
        <v>0</v>
      </c>
      <c r="F11" s="5"/>
      <c r="G11" s="46"/>
      <c r="H11" s="6">
        <f t="shared" si="2"/>
        <v>0</v>
      </c>
      <c r="I11" s="7"/>
      <c r="J11" s="16"/>
      <c r="K11" s="17"/>
      <c r="L11" s="17"/>
      <c r="M11" s="17"/>
      <c r="N11" s="17"/>
      <c r="O11" s="17"/>
      <c r="P11" s="17"/>
      <c r="Q11" s="18"/>
      <c r="R11" s="17"/>
      <c r="S11" s="18"/>
      <c r="T11" s="17"/>
      <c r="U11" s="18"/>
      <c r="V11" s="17"/>
      <c r="W11" s="23">
        <f t="shared" si="0"/>
        <v>0</v>
      </c>
    </row>
    <row r="12" spans="1:23">
      <c r="A12" s="4"/>
      <c r="B12" s="25"/>
      <c r="C12" s="49"/>
      <c r="D12" s="49"/>
      <c r="E12" s="5">
        <f t="shared" si="1"/>
        <v>0</v>
      </c>
      <c r="F12" s="5"/>
      <c r="G12" s="46"/>
      <c r="H12" s="6">
        <f t="shared" si="2"/>
        <v>0</v>
      </c>
      <c r="I12" s="7"/>
      <c r="J12" s="16"/>
      <c r="K12" s="17"/>
      <c r="L12" s="17"/>
      <c r="M12" s="17"/>
      <c r="N12" s="17"/>
      <c r="O12" s="17"/>
      <c r="P12" s="17"/>
      <c r="Q12" s="18"/>
      <c r="R12" s="17"/>
      <c r="S12" s="18"/>
      <c r="T12" s="17"/>
      <c r="U12" s="18"/>
      <c r="V12" s="17"/>
      <c r="W12" s="23">
        <f t="shared" si="0"/>
        <v>0</v>
      </c>
    </row>
    <row r="13" spans="1:23">
      <c r="A13" s="4"/>
      <c r="B13" s="9"/>
      <c r="C13" s="49"/>
      <c r="D13" s="49"/>
      <c r="E13" s="5">
        <f t="shared" si="1"/>
        <v>0</v>
      </c>
      <c r="F13" s="5"/>
      <c r="G13" s="46"/>
      <c r="H13" s="6">
        <f t="shared" si="2"/>
        <v>0</v>
      </c>
      <c r="I13" s="7"/>
      <c r="J13" s="16"/>
      <c r="K13" s="17"/>
      <c r="L13" s="17"/>
      <c r="M13" s="17"/>
      <c r="N13" s="17"/>
      <c r="O13" s="17"/>
      <c r="P13" s="17"/>
      <c r="Q13" s="18"/>
      <c r="R13" s="17"/>
      <c r="S13" s="18"/>
      <c r="T13" s="17"/>
      <c r="U13" s="18"/>
      <c r="V13" s="17"/>
      <c r="W13" s="23">
        <f t="shared" si="0"/>
        <v>0</v>
      </c>
    </row>
    <row r="14" spans="1:23">
      <c r="A14" s="4"/>
      <c r="B14" s="9"/>
      <c r="C14" s="49"/>
      <c r="D14" s="49"/>
      <c r="E14" s="5">
        <f t="shared" si="1"/>
        <v>0</v>
      </c>
      <c r="F14" s="5"/>
      <c r="G14" s="46"/>
      <c r="H14" s="6">
        <f t="shared" si="2"/>
        <v>0</v>
      </c>
      <c r="I14" s="7"/>
      <c r="J14" s="16"/>
      <c r="K14" s="17"/>
      <c r="L14" s="17"/>
      <c r="M14" s="17"/>
      <c r="N14" s="17"/>
      <c r="O14" s="17"/>
      <c r="P14" s="17"/>
      <c r="Q14" s="18"/>
      <c r="R14" s="17"/>
      <c r="S14" s="18"/>
      <c r="T14" s="17"/>
      <c r="U14" s="18"/>
      <c r="V14" s="17"/>
      <c r="W14" s="23">
        <f t="shared" si="0"/>
        <v>0</v>
      </c>
    </row>
    <row r="15" spans="1:23">
      <c r="A15" s="4"/>
      <c r="B15" s="10"/>
      <c r="C15" s="49"/>
      <c r="D15" s="49"/>
      <c r="E15" s="5">
        <f t="shared" si="1"/>
        <v>0</v>
      </c>
      <c r="F15" s="5"/>
      <c r="G15" s="46"/>
      <c r="H15" s="6">
        <f t="shared" si="2"/>
        <v>0</v>
      </c>
      <c r="I15" s="7"/>
      <c r="J15" s="16"/>
      <c r="K15" s="17"/>
      <c r="L15" s="17"/>
      <c r="M15" s="17"/>
      <c r="N15" s="17"/>
      <c r="O15" s="17"/>
      <c r="P15" s="17"/>
      <c r="Q15" s="18"/>
      <c r="R15" s="17"/>
      <c r="S15" s="18"/>
      <c r="T15" s="17"/>
      <c r="U15" s="18"/>
      <c r="V15" s="17"/>
      <c r="W15" s="23">
        <f t="shared" si="0"/>
        <v>0</v>
      </c>
    </row>
    <row r="16" spans="1:23">
      <c r="A16" s="4"/>
      <c r="B16" s="25"/>
      <c r="C16" s="49"/>
      <c r="D16" s="49"/>
      <c r="E16" s="5">
        <f t="shared" si="1"/>
        <v>0</v>
      </c>
      <c r="F16" s="5"/>
      <c r="G16" s="46"/>
      <c r="H16" s="6">
        <f t="shared" si="2"/>
        <v>0</v>
      </c>
      <c r="I16" s="7"/>
      <c r="J16" s="16"/>
      <c r="K16" s="17"/>
      <c r="L16" s="17"/>
      <c r="M16" s="17"/>
      <c r="N16" s="17"/>
      <c r="O16" s="17"/>
      <c r="P16" s="17"/>
      <c r="Q16" s="18"/>
      <c r="R16" s="17"/>
      <c r="S16" s="18"/>
      <c r="T16" s="17"/>
      <c r="U16" s="18"/>
      <c r="V16" s="17"/>
      <c r="W16" s="23">
        <f t="shared" si="0"/>
        <v>0</v>
      </c>
    </row>
    <row r="17" spans="1:23">
      <c r="A17" s="4"/>
      <c r="B17" s="25"/>
      <c r="C17" s="49"/>
      <c r="D17" s="49"/>
      <c r="E17" s="5">
        <f t="shared" si="1"/>
        <v>0</v>
      </c>
      <c r="F17" s="5"/>
      <c r="G17" s="46"/>
      <c r="H17" s="6">
        <f t="shared" si="2"/>
        <v>0</v>
      </c>
      <c r="I17" s="7"/>
      <c r="J17" s="16"/>
      <c r="K17" s="17"/>
      <c r="L17" s="17"/>
      <c r="M17" s="17"/>
      <c r="N17" s="17"/>
      <c r="O17" s="17"/>
      <c r="P17" s="17"/>
      <c r="Q17" s="18"/>
      <c r="R17" s="17"/>
      <c r="S17" s="18"/>
      <c r="T17" s="17"/>
      <c r="U17" s="18"/>
      <c r="V17" s="17"/>
      <c r="W17" s="23">
        <f t="shared" si="0"/>
        <v>0</v>
      </c>
    </row>
    <row r="18" spans="1:23">
      <c r="A18" s="4"/>
      <c r="B18" s="25"/>
      <c r="C18" s="49"/>
      <c r="D18" s="49"/>
      <c r="E18" s="5">
        <f t="shared" si="1"/>
        <v>0</v>
      </c>
      <c r="F18" s="5"/>
      <c r="G18" s="46"/>
      <c r="H18" s="6">
        <f t="shared" si="2"/>
        <v>0</v>
      </c>
      <c r="I18" s="7"/>
      <c r="J18" s="16"/>
      <c r="K18" s="17"/>
      <c r="L18" s="17"/>
      <c r="M18" s="17"/>
      <c r="N18" s="17"/>
      <c r="O18" s="17"/>
      <c r="P18" s="17"/>
      <c r="Q18" s="18"/>
      <c r="R18" s="17"/>
      <c r="S18" s="18"/>
      <c r="T18" s="17"/>
      <c r="U18" s="18"/>
      <c r="V18" s="17"/>
      <c r="W18" s="23">
        <f t="shared" si="0"/>
        <v>0</v>
      </c>
    </row>
    <row r="19" spans="1:23">
      <c r="A19" s="4"/>
      <c r="B19" s="25"/>
      <c r="C19" s="49"/>
      <c r="D19" s="49"/>
      <c r="E19" s="5">
        <f t="shared" si="1"/>
        <v>0</v>
      </c>
      <c r="F19" s="5"/>
      <c r="G19" s="46"/>
      <c r="H19" s="6">
        <f t="shared" si="2"/>
        <v>0</v>
      </c>
      <c r="I19" s="7"/>
      <c r="J19" s="16"/>
      <c r="K19" s="17"/>
      <c r="L19" s="17"/>
      <c r="M19" s="17"/>
      <c r="N19" s="17"/>
      <c r="O19" s="17"/>
      <c r="P19" s="17"/>
      <c r="Q19" s="18"/>
      <c r="R19" s="17"/>
      <c r="S19" s="18"/>
      <c r="T19" s="17"/>
      <c r="U19" s="18"/>
      <c r="V19" s="17"/>
      <c r="W19" s="23">
        <f t="shared" si="0"/>
        <v>0</v>
      </c>
    </row>
    <row r="20" spans="1:23">
      <c r="A20" s="4"/>
      <c r="B20" s="25"/>
      <c r="C20" s="49"/>
      <c r="D20" s="49"/>
      <c r="E20" s="5">
        <f t="shared" si="1"/>
        <v>0</v>
      </c>
      <c r="F20" s="5"/>
      <c r="G20" s="46"/>
      <c r="H20" s="6">
        <f t="shared" si="2"/>
        <v>0</v>
      </c>
      <c r="I20" s="7"/>
      <c r="J20" s="16"/>
      <c r="K20" s="17"/>
      <c r="L20" s="17"/>
      <c r="M20" s="17"/>
      <c r="N20" s="17"/>
      <c r="O20" s="17"/>
      <c r="P20" s="17"/>
      <c r="Q20" s="18"/>
      <c r="R20" s="17"/>
      <c r="S20" s="18"/>
      <c r="T20" s="17"/>
      <c r="U20" s="18"/>
      <c r="V20" s="17"/>
      <c r="W20" s="23">
        <f t="shared" si="0"/>
        <v>0</v>
      </c>
    </row>
    <row r="21" spans="1:23">
      <c r="A21" s="4"/>
      <c r="B21" s="50"/>
      <c r="C21" s="49"/>
      <c r="D21" s="49"/>
      <c r="E21" s="5">
        <f t="shared" si="1"/>
        <v>0</v>
      </c>
      <c r="F21" s="5"/>
      <c r="G21" s="47"/>
      <c r="H21" s="6">
        <f t="shared" si="2"/>
        <v>0</v>
      </c>
      <c r="I21" s="7"/>
      <c r="J21" s="16"/>
      <c r="K21" s="17"/>
      <c r="L21" s="17"/>
      <c r="M21" s="17"/>
      <c r="N21" s="17"/>
      <c r="O21" s="17"/>
      <c r="P21" s="17"/>
      <c r="Q21" s="18"/>
      <c r="R21" s="17"/>
      <c r="S21" s="18"/>
      <c r="T21" s="17"/>
      <c r="U21" s="18"/>
      <c r="V21" s="17"/>
      <c r="W21" s="23">
        <f t="shared" si="0"/>
        <v>0</v>
      </c>
    </row>
    <row r="22" spans="1:23">
      <c r="A22" s="4"/>
      <c r="B22" s="25"/>
      <c r="C22" s="49"/>
      <c r="D22" s="49"/>
      <c r="E22" s="5">
        <f t="shared" si="1"/>
        <v>0</v>
      </c>
      <c r="F22" s="5"/>
      <c r="G22" s="46"/>
      <c r="H22" s="6">
        <f t="shared" si="2"/>
        <v>0</v>
      </c>
      <c r="I22" s="7"/>
      <c r="J22" s="16"/>
      <c r="K22" s="17"/>
      <c r="L22" s="17"/>
      <c r="M22" s="17"/>
      <c r="N22" s="17"/>
      <c r="O22" s="17"/>
      <c r="P22" s="17"/>
      <c r="Q22" s="18"/>
      <c r="R22" s="17"/>
      <c r="S22" s="18"/>
      <c r="T22" s="17"/>
      <c r="U22" s="18"/>
      <c r="V22" s="17"/>
      <c r="W22" s="23">
        <f t="shared" si="0"/>
        <v>0</v>
      </c>
    </row>
    <row r="23" spans="1:23">
      <c r="A23" s="4"/>
      <c r="B23" s="25"/>
      <c r="C23" s="49"/>
      <c r="D23" s="49"/>
      <c r="E23" s="5">
        <f t="shared" si="1"/>
        <v>0</v>
      </c>
      <c r="F23" s="5"/>
      <c r="G23" s="46"/>
      <c r="H23" s="6">
        <f t="shared" si="2"/>
        <v>0</v>
      </c>
      <c r="I23" s="7"/>
      <c r="J23" s="16"/>
      <c r="K23" s="17"/>
      <c r="L23" s="17"/>
      <c r="M23" s="17"/>
      <c r="N23" s="17"/>
      <c r="O23" s="17"/>
      <c r="P23" s="17"/>
      <c r="Q23" s="18"/>
      <c r="R23" s="17"/>
      <c r="S23" s="18"/>
      <c r="T23" s="17"/>
      <c r="U23" s="18"/>
      <c r="V23" s="17"/>
      <c r="W23" s="23">
        <f t="shared" si="0"/>
        <v>0</v>
      </c>
    </row>
    <row r="24" spans="1:23">
      <c r="A24" s="4"/>
      <c r="B24" s="25"/>
      <c r="C24" s="49"/>
      <c r="D24" s="49"/>
      <c r="E24" s="5">
        <f t="shared" si="1"/>
        <v>0</v>
      </c>
      <c r="F24" s="5"/>
      <c r="G24" s="46"/>
      <c r="H24" s="6">
        <f t="shared" si="2"/>
        <v>0</v>
      </c>
      <c r="I24" s="7"/>
      <c r="J24" s="16"/>
      <c r="K24" s="17"/>
      <c r="L24" s="17"/>
      <c r="M24" s="17"/>
      <c r="N24" s="17"/>
      <c r="O24" s="17"/>
      <c r="P24" s="17"/>
      <c r="Q24" s="18"/>
      <c r="R24" s="17"/>
      <c r="S24" s="18"/>
      <c r="T24" s="17"/>
      <c r="U24" s="18"/>
      <c r="V24" s="17"/>
      <c r="W24" s="23">
        <f t="shared" si="0"/>
        <v>0</v>
      </c>
    </row>
    <row r="25" spans="1:23">
      <c r="A25" s="4"/>
      <c r="B25" s="25"/>
      <c r="C25" s="49"/>
      <c r="D25" s="49"/>
      <c r="E25" s="5">
        <f t="shared" si="1"/>
        <v>0</v>
      </c>
      <c r="F25" s="5"/>
      <c r="G25" s="46"/>
      <c r="H25" s="6">
        <f t="shared" si="2"/>
        <v>0</v>
      </c>
      <c r="I25" s="7"/>
      <c r="J25" s="16"/>
      <c r="K25" s="17"/>
      <c r="L25" s="17"/>
      <c r="M25" s="17"/>
      <c r="N25" s="17"/>
      <c r="O25" s="17"/>
      <c r="P25" s="17"/>
      <c r="Q25" s="18"/>
      <c r="R25" s="17"/>
      <c r="S25" s="18"/>
      <c r="T25" s="17"/>
      <c r="U25" s="18"/>
      <c r="V25" s="17"/>
      <c r="W25" s="23">
        <f t="shared" si="0"/>
        <v>0</v>
      </c>
    </row>
    <row r="26" spans="1:23">
      <c r="A26" s="4"/>
      <c r="B26" s="25"/>
      <c r="C26" s="49"/>
      <c r="D26" s="49"/>
      <c r="E26" s="5">
        <f t="shared" si="1"/>
        <v>0</v>
      </c>
      <c r="F26" s="5"/>
      <c r="G26" s="48"/>
      <c r="H26" s="6">
        <f t="shared" si="2"/>
        <v>0</v>
      </c>
      <c r="I26" s="7"/>
      <c r="J26" s="16"/>
      <c r="K26" s="17"/>
      <c r="L26" s="17"/>
      <c r="M26" s="17"/>
      <c r="N26" s="17"/>
      <c r="O26" s="17"/>
      <c r="P26" s="17"/>
      <c r="Q26" s="18"/>
      <c r="R26" s="17"/>
      <c r="S26" s="18"/>
      <c r="T26" s="17"/>
      <c r="U26" s="18"/>
      <c r="V26" s="17"/>
      <c r="W26" s="23">
        <f t="shared" si="0"/>
        <v>0</v>
      </c>
    </row>
    <row r="27" spans="1:23">
      <c r="A27" s="4"/>
      <c r="B27" s="25"/>
      <c r="C27" s="49"/>
      <c r="D27" s="49"/>
      <c r="E27" s="5">
        <f t="shared" si="1"/>
        <v>0</v>
      </c>
      <c r="F27" s="5"/>
      <c r="G27" s="46"/>
      <c r="H27" s="6">
        <f t="shared" si="2"/>
        <v>0</v>
      </c>
      <c r="I27" s="7"/>
      <c r="J27" s="16"/>
      <c r="K27" s="17"/>
      <c r="L27" s="17"/>
      <c r="M27" s="17"/>
      <c r="N27" s="17"/>
      <c r="O27" s="17"/>
      <c r="P27" s="17"/>
      <c r="Q27" s="18"/>
      <c r="R27" s="17"/>
      <c r="S27" s="18"/>
      <c r="T27" s="17"/>
      <c r="U27" s="18"/>
      <c r="V27" s="17"/>
      <c r="W27" s="23">
        <f t="shared" si="0"/>
        <v>0</v>
      </c>
    </row>
    <row r="28" spans="1:23">
      <c r="A28" s="4"/>
      <c r="B28" s="25"/>
      <c r="C28" s="49"/>
      <c r="D28" s="49"/>
      <c r="E28" s="5">
        <f t="shared" si="1"/>
        <v>0</v>
      </c>
      <c r="F28" s="5"/>
      <c r="G28" s="46"/>
      <c r="H28" s="6">
        <f t="shared" si="2"/>
        <v>0</v>
      </c>
      <c r="I28" s="7"/>
      <c r="J28" s="16"/>
      <c r="K28" s="17"/>
      <c r="L28" s="17"/>
      <c r="M28" s="17"/>
      <c r="N28" s="17"/>
      <c r="O28" s="17"/>
      <c r="P28" s="17"/>
      <c r="Q28" s="18"/>
      <c r="R28" s="17"/>
      <c r="S28" s="18"/>
      <c r="T28" s="17"/>
      <c r="U28" s="18"/>
      <c r="V28" s="17"/>
      <c r="W28" s="23">
        <f t="shared" si="0"/>
        <v>0</v>
      </c>
    </row>
    <row r="29" spans="1:23">
      <c r="A29" s="4"/>
      <c r="B29" s="25"/>
      <c r="C29" s="49"/>
      <c r="D29" s="49"/>
      <c r="E29" s="5">
        <f t="shared" si="1"/>
        <v>0</v>
      </c>
      <c r="F29" s="5"/>
      <c r="G29" s="46"/>
      <c r="H29" s="6">
        <f t="shared" si="2"/>
        <v>0</v>
      </c>
      <c r="I29" s="7"/>
      <c r="J29" s="16"/>
      <c r="K29" s="17"/>
      <c r="L29" s="17"/>
      <c r="M29" s="17"/>
      <c r="N29" s="17"/>
      <c r="O29" s="17"/>
      <c r="P29" s="17"/>
      <c r="Q29" s="18"/>
      <c r="R29" s="17"/>
      <c r="S29" s="18"/>
      <c r="T29" s="17"/>
      <c r="U29" s="18"/>
      <c r="V29" s="17"/>
      <c r="W29" s="23">
        <f t="shared" si="0"/>
        <v>0</v>
      </c>
    </row>
    <row r="30" spans="1:23">
      <c r="A30" s="4"/>
      <c r="B30" s="25"/>
      <c r="C30" s="49"/>
      <c r="D30" s="49"/>
      <c r="E30" s="5">
        <f t="shared" si="1"/>
        <v>0</v>
      </c>
      <c r="F30" s="5"/>
      <c r="G30" s="46"/>
      <c r="H30" s="6">
        <f t="shared" si="2"/>
        <v>0</v>
      </c>
      <c r="I30" s="7"/>
      <c r="J30" s="16"/>
      <c r="K30" s="17"/>
      <c r="L30" s="17"/>
      <c r="M30" s="17"/>
      <c r="N30" s="17"/>
      <c r="O30" s="17"/>
      <c r="P30" s="17"/>
      <c r="Q30" s="18"/>
      <c r="R30" s="17"/>
      <c r="S30" s="18"/>
      <c r="T30" s="17"/>
      <c r="U30" s="18"/>
      <c r="V30" s="17"/>
      <c r="W30" s="23">
        <f t="shared" si="0"/>
        <v>0</v>
      </c>
    </row>
    <row r="31" spans="1:23">
      <c r="A31" s="4"/>
      <c r="B31" s="25"/>
      <c r="C31" s="49"/>
      <c r="D31" s="49"/>
      <c r="E31" s="5">
        <f t="shared" si="1"/>
        <v>0</v>
      </c>
      <c r="F31" s="5"/>
      <c r="G31" s="46"/>
      <c r="H31" s="6">
        <f>G31+H30</f>
        <v>0</v>
      </c>
      <c r="I31" s="7"/>
      <c r="J31" s="16"/>
      <c r="K31" s="17"/>
      <c r="L31" s="17"/>
      <c r="M31" s="17"/>
      <c r="N31" s="17"/>
      <c r="O31" s="17"/>
      <c r="P31" s="17"/>
      <c r="Q31" s="18"/>
      <c r="R31" s="17"/>
      <c r="S31" s="18"/>
      <c r="T31" s="17"/>
      <c r="U31" s="18"/>
      <c r="V31" s="17"/>
      <c r="W31" s="23">
        <f t="shared" si="0"/>
        <v>0</v>
      </c>
    </row>
    <row r="32" spans="1:23">
      <c r="A32" s="4"/>
      <c r="B32" s="25"/>
      <c r="C32" s="49"/>
      <c r="D32" s="49"/>
      <c r="E32" s="5">
        <f t="shared" si="1"/>
        <v>0</v>
      </c>
      <c r="F32" s="5"/>
      <c r="G32" s="46"/>
      <c r="H32" s="6">
        <f t="shared" si="2"/>
        <v>0</v>
      </c>
      <c r="I32" s="7"/>
      <c r="J32" s="16"/>
      <c r="K32" s="17"/>
      <c r="L32" s="17"/>
      <c r="M32" s="17"/>
      <c r="N32" s="17"/>
      <c r="O32" s="17"/>
      <c r="P32" s="17"/>
      <c r="Q32" s="18"/>
      <c r="R32" s="17"/>
      <c r="S32" s="18"/>
      <c r="T32" s="17"/>
      <c r="U32" s="18"/>
      <c r="V32" s="17"/>
      <c r="W32" s="23">
        <f t="shared" si="0"/>
        <v>0</v>
      </c>
    </row>
    <row r="33" spans="1:23">
      <c r="A33" s="4"/>
      <c r="B33" s="8"/>
      <c r="C33" s="49"/>
      <c r="D33" s="49"/>
      <c r="E33" s="5">
        <f t="shared" si="1"/>
        <v>0</v>
      </c>
      <c r="F33" s="5"/>
      <c r="G33" s="46"/>
      <c r="H33" s="6">
        <f t="shared" si="2"/>
        <v>0</v>
      </c>
      <c r="I33" s="7"/>
      <c r="J33" s="16"/>
      <c r="K33" s="17"/>
      <c r="L33" s="17"/>
      <c r="M33" s="17"/>
      <c r="N33" s="17"/>
      <c r="O33" s="17"/>
      <c r="P33" s="17"/>
      <c r="Q33" s="18"/>
      <c r="R33" s="17"/>
      <c r="S33" s="18"/>
      <c r="T33" s="17"/>
      <c r="U33" s="18"/>
      <c r="V33" s="17"/>
      <c r="W33" s="23">
        <f t="shared" si="0"/>
        <v>0</v>
      </c>
    </row>
    <row r="34" spans="1:23">
      <c r="A34" s="4"/>
      <c r="B34" s="92"/>
      <c r="C34" s="49"/>
      <c r="D34" s="49"/>
      <c r="E34" s="5">
        <f t="shared" si="1"/>
        <v>0</v>
      </c>
      <c r="F34" s="5"/>
      <c r="G34" s="46"/>
      <c r="H34" s="6">
        <f t="shared" si="2"/>
        <v>0</v>
      </c>
      <c r="I34" s="7"/>
      <c r="J34" s="16"/>
      <c r="K34" s="17"/>
      <c r="L34" s="17"/>
      <c r="M34" s="17"/>
      <c r="N34" s="17"/>
      <c r="O34" s="17"/>
      <c r="P34" s="17"/>
      <c r="Q34" s="18"/>
      <c r="R34" s="17"/>
      <c r="S34" s="18"/>
      <c r="T34" s="17"/>
      <c r="U34" s="18"/>
      <c r="V34" s="17"/>
      <c r="W34" s="23">
        <f t="shared" si="0"/>
        <v>0</v>
      </c>
    </row>
    <row r="35" spans="1:23">
      <c r="A35" s="91" t="s">
        <v>150</v>
      </c>
      <c r="B35" s="93">
        <f>SUM(B4:B34)</f>
        <v>0</v>
      </c>
      <c r="C35" s="93">
        <f t="shared" ref="C35:G35" si="3">SUM(C4:C34)</f>
        <v>0</v>
      </c>
      <c r="D35" s="93">
        <f t="shared" si="3"/>
        <v>0</v>
      </c>
      <c r="E35" s="93">
        <f t="shared" si="3"/>
        <v>0</v>
      </c>
      <c r="F35" s="93">
        <f>F34</f>
        <v>0</v>
      </c>
      <c r="G35" s="93">
        <f t="shared" si="3"/>
        <v>0</v>
      </c>
      <c r="H35" s="97">
        <f>H34</f>
        <v>0</v>
      </c>
      <c r="I35" s="12">
        <f>SUM(I4:I34)</f>
        <v>0</v>
      </c>
      <c r="J35" s="12">
        <f>J34</f>
        <v>0</v>
      </c>
      <c r="K35" s="19">
        <f t="shared" ref="K35:W35" si="4">SUM(K4:K34)</f>
        <v>0</v>
      </c>
      <c r="L35" s="19">
        <f t="shared" si="4"/>
        <v>0</v>
      </c>
      <c r="M35" s="19">
        <f t="shared" si="4"/>
        <v>0</v>
      </c>
      <c r="N35" s="19">
        <f t="shared" si="4"/>
        <v>0</v>
      </c>
      <c r="O35" s="19">
        <f t="shared" si="4"/>
        <v>0</v>
      </c>
      <c r="P35" s="19">
        <f t="shared" si="4"/>
        <v>0</v>
      </c>
      <c r="Q35" s="19">
        <f t="shared" si="4"/>
        <v>0</v>
      </c>
      <c r="R35" s="19">
        <f t="shared" si="4"/>
        <v>0</v>
      </c>
      <c r="S35" s="19">
        <f t="shared" si="4"/>
        <v>0</v>
      </c>
      <c r="T35" s="19">
        <f t="shared" si="4"/>
        <v>0</v>
      </c>
      <c r="U35" s="19">
        <f t="shared" si="4"/>
        <v>0</v>
      </c>
      <c r="V35" s="19">
        <f t="shared" si="4"/>
        <v>0</v>
      </c>
      <c r="W35" s="19">
        <f t="shared" si="4"/>
        <v>0</v>
      </c>
    </row>
  </sheetData>
  <mergeCells count="2">
    <mergeCell ref="A1:I1"/>
    <mergeCell ref="J1:W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B22" sqref="B22"/>
    </sheetView>
  </sheetViews>
  <sheetFormatPr defaultColWidth="9.140625" defaultRowHeight="12.75"/>
  <cols>
    <col min="1" max="1" width="22.42578125" customWidth="1"/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2.85546875" customWidth="1"/>
    <col min="10" max="10" width="14" customWidth="1"/>
    <col min="11" max="11" width="13" customWidth="1"/>
  </cols>
  <sheetData>
    <row r="1" spans="1:23" ht="30.95" customHeight="1">
      <c r="A1" s="203"/>
      <c r="B1" s="203"/>
      <c r="C1" s="203"/>
      <c r="D1" s="203"/>
      <c r="E1" s="203"/>
      <c r="F1" s="203"/>
      <c r="G1" s="203"/>
      <c r="H1" s="203"/>
      <c r="I1" s="203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23" ht="51">
      <c r="A3" s="94" t="s">
        <v>130</v>
      </c>
      <c r="B3" s="94" t="s">
        <v>131</v>
      </c>
      <c r="C3" s="94" t="s">
        <v>151</v>
      </c>
      <c r="D3" s="94" t="s">
        <v>132</v>
      </c>
      <c r="E3" s="94" t="s">
        <v>133</v>
      </c>
      <c r="F3" s="94" t="s">
        <v>134</v>
      </c>
      <c r="G3" s="94" t="s">
        <v>135</v>
      </c>
      <c r="H3" s="94" t="s">
        <v>136</v>
      </c>
      <c r="I3" s="94" t="s">
        <v>137</v>
      </c>
      <c r="J3" s="95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3">
      <c r="A4" s="4"/>
      <c r="B4" s="25"/>
      <c r="C4" s="49"/>
      <c r="D4" s="49"/>
      <c r="E4" s="5">
        <f>+B4-D4-C4</f>
        <v>0</v>
      </c>
      <c r="F4" s="5"/>
      <c r="G4" s="46"/>
      <c r="H4" s="6">
        <f>G4</f>
        <v>0</v>
      </c>
      <c r="I4" s="7"/>
      <c r="J4" s="16"/>
      <c r="K4" s="17"/>
      <c r="L4" s="17"/>
      <c r="M4" s="17"/>
      <c r="N4" s="17"/>
      <c r="O4" s="17"/>
      <c r="P4" s="17"/>
      <c r="Q4" s="18"/>
      <c r="R4" s="17"/>
      <c r="S4" s="18"/>
      <c r="T4" s="17"/>
      <c r="U4" s="18"/>
      <c r="V4" s="17"/>
      <c r="W4" s="23">
        <f t="shared" ref="W4:W34" si="0">SUM(K4:V4)</f>
        <v>0</v>
      </c>
    </row>
    <row r="5" spans="1:23">
      <c r="A5" s="4"/>
      <c r="B5" s="25"/>
      <c r="C5" s="49"/>
      <c r="D5" s="49"/>
      <c r="E5" s="5">
        <f t="shared" ref="E5:E34" si="1">+B5-D5-C5</f>
        <v>0</v>
      </c>
      <c r="F5" s="5"/>
      <c r="G5" s="46"/>
      <c r="H5" s="6">
        <f>G5+H4</f>
        <v>0</v>
      </c>
      <c r="I5" s="7"/>
      <c r="J5" s="16"/>
      <c r="K5" s="17"/>
      <c r="L5" s="17"/>
      <c r="M5" s="17"/>
      <c r="N5" s="17"/>
      <c r="O5" s="17"/>
      <c r="P5" s="17"/>
      <c r="Q5" s="18"/>
      <c r="R5" s="17"/>
      <c r="S5" s="18"/>
      <c r="T5" s="17"/>
      <c r="U5" s="18"/>
      <c r="V5" s="17"/>
      <c r="W5" s="23">
        <f t="shared" si="0"/>
        <v>0</v>
      </c>
    </row>
    <row r="6" spans="1:23">
      <c r="A6" s="4"/>
      <c r="B6" s="25"/>
      <c r="C6" s="49"/>
      <c r="D6" s="49"/>
      <c r="E6" s="5">
        <f t="shared" si="1"/>
        <v>0</v>
      </c>
      <c r="F6" s="5"/>
      <c r="G6" s="46"/>
      <c r="H6" s="6">
        <f>G6+H5</f>
        <v>0</v>
      </c>
      <c r="I6" s="7"/>
      <c r="J6" s="16"/>
      <c r="K6" s="17"/>
      <c r="L6" s="17"/>
      <c r="M6" s="17"/>
      <c r="N6" s="17"/>
      <c r="O6" s="17"/>
      <c r="P6" s="17"/>
      <c r="Q6" s="18"/>
      <c r="R6" s="17"/>
      <c r="S6" s="18"/>
      <c r="T6" s="17"/>
      <c r="U6" s="18"/>
      <c r="V6" s="17"/>
      <c r="W6" s="23">
        <f t="shared" si="0"/>
        <v>0</v>
      </c>
    </row>
    <row r="7" spans="1:23">
      <c r="A7" s="4"/>
      <c r="B7" s="25"/>
      <c r="C7" s="49"/>
      <c r="D7" s="49"/>
      <c r="E7" s="5">
        <f t="shared" si="1"/>
        <v>0</v>
      </c>
      <c r="F7" s="5"/>
      <c r="G7" s="46"/>
      <c r="H7" s="6">
        <f t="shared" ref="H7:H34" si="2">G7+H6</f>
        <v>0</v>
      </c>
      <c r="I7" s="7"/>
      <c r="J7" s="16"/>
      <c r="K7" s="17"/>
      <c r="L7" s="17"/>
      <c r="M7" s="17"/>
      <c r="N7" s="17"/>
      <c r="O7" s="17"/>
      <c r="P7" s="17"/>
      <c r="Q7" s="18"/>
      <c r="R7" s="17"/>
      <c r="S7" s="18"/>
      <c r="T7" s="17"/>
      <c r="U7" s="18"/>
      <c r="V7" s="17"/>
      <c r="W7" s="23">
        <f t="shared" si="0"/>
        <v>0</v>
      </c>
    </row>
    <row r="8" spans="1:23">
      <c r="A8" s="4"/>
      <c r="B8" s="25"/>
      <c r="C8" s="49"/>
      <c r="D8" s="49"/>
      <c r="E8" s="5">
        <f t="shared" si="1"/>
        <v>0</v>
      </c>
      <c r="F8" s="5"/>
      <c r="G8" s="46"/>
      <c r="H8" s="6">
        <f t="shared" si="2"/>
        <v>0</v>
      </c>
      <c r="I8" s="7"/>
      <c r="J8" s="16"/>
      <c r="K8" s="17"/>
      <c r="L8" s="17"/>
      <c r="M8" s="17"/>
      <c r="N8" s="17"/>
      <c r="O8" s="17"/>
      <c r="P8" s="17"/>
      <c r="Q8" s="18"/>
      <c r="R8" s="17"/>
      <c r="S8" s="18"/>
      <c r="T8" s="17"/>
      <c r="U8" s="18"/>
      <c r="V8" s="17"/>
      <c r="W8" s="23">
        <f t="shared" si="0"/>
        <v>0</v>
      </c>
    </row>
    <row r="9" spans="1:23">
      <c r="A9" s="4"/>
      <c r="B9" s="25"/>
      <c r="C9" s="49"/>
      <c r="D9" s="49"/>
      <c r="E9" s="5">
        <f t="shared" si="1"/>
        <v>0</v>
      </c>
      <c r="F9" s="5"/>
      <c r="G9" s="46"/>
      <c r="H9" s="6">
        <f t="shared" si="2"/>
        <v>0</v>
      </c>
      <c r="I9" s="7"/>
      <c r="J9" s="16"/>
      <c r="K9" s="17"/>
      <c r="L9" s="17"/>
      <c r="M9" s="17"/>
      <c r="N9" s="17"/>
      <c r="O9" s="17"/>
      <c r="P9" s="17"/>
      <c r="Q9" s="18"/>
      <c r="R9" s="17"/>
      <c r="S9" s="18"/>
      <c r="T9" s="17"/>
      <c r="U9" s="18"/>
      <c r="V9" s="17"/>
      <c r="W9" s="23">
        <f t="shared" si="0"/>
        <v>0</v>
      </c>
    </row>
    <row r="10" spans="1:23">
      <c r="A10" s="4"/>
      <c r="B10" s="25"/>
      <c r="C10" s="49"/>
      <c r="D10" s="49"/>
      <c r="E10" s="5">
        <f t="shared" si="1"/>
        <v>0</v>
      </c>
      <c r="F10" s="5"/>
      <c r="G10" s="46"/>
      <c r="H10" s="6">
        <f t="shared" si="2"/>
        <v>0</v>
      </c>
      <c r="I10" s="7"/>
      <c r="J10" s="16"/>
      <c r="K10" s="17"/>
      <c r="L10" s="17"/>
      <c r="M10" s="17"/>
      <c r="N10" s="17"/>
      <c r="O10" s="17"/>
      <c r="P10" s="17"/>
      <c r="Q10" s="18"/>
      <c r="R10" s="17"/>
      <c r="S10" s="18"/>
      <c r="T10" s="17"/>
      <c r="U10" s="18"/>
      <c r="V10" s="17"/>
      <c r="W10" s="23">
        <f t="shared" si="0"/>
        <v>0</v>
      </c>
    </row>
    <row r="11" spans="1:23">
      <c r="A11" s="4"/>
      <c r="B11" s="26"/>
      <c r="C11" s="49"/>
      <c r="D11" s="49"/>
      <c r="E11" s="5">
        <f t="shared" si="1"/>
        <v>0</v>
      </c>
      <c r="F11" s="5"/>
      <c r="G11" s="46"/>
      <c r="H11" s="6">
        <f t="shared" si="2"/>
        <v>0</v>
      </c>
      <c r="I11" s="7"/>
      <c r="J11" s="16"/>
      <c r="K11" s="17"/>
      <c r="L11" s="17"/>
      <c r="M11" s="17"/>
      <c r="N11" s="17"/>
      <c r="O11" s="17"/>
      <c r="P11" s="17"/>
      <c r="Q11" s="18"/>
      <c r="R11" s="17"/>
      <c r="S11" s="18"/>
      <c r="T11" s="17"/>
      <c r="U11" s="18"/>
      <c r="V11" s="17"/>
      <c r="W11" s="23">
        <f t="shared" si="0"/>
        <v>0</v>
      </c>
    </row>
    <row r="12" spans="1:23">
      <c r="A12" s="4"/>
      <c r="B12" s="25"/>
      <c r="C12" s="49"/>
      <c r="D12" s="49"/>
      <c r="E12" s="5">
        <f t="shared" si="1"/>
        <v>0</v>
      </c>
      <c r="F12" s="5"/>
      <c r="G12" s="46"/>
      <c r="H12" s="6">
        <f t="shared" si="2"/>
        <v>0</v>
      </c>
      <c r="I12" s="7"/>
      <c r="J12" s="16"/>
      <c r="K12" s="17"/>
      <c r="L12" s="17"/>
      <c r="M12" s="17"/>
      <c r="N12" s="17"/>
      <c r="O12" s="17"/>
      <c r="P12" s="17"/>
      <c r="Q12" s="18"/>
      <c r="R12" s="17"/>
      <c r="S12" s="18"/>
      <c r="T12" s="17"/>
      <c r="U12" s="18"/>
      <c r="V12" s="17"/>
      <c r="W12" s="23">
        <f t="shared" si="0"/>
        <v>0</v>
      </c>
    </row>
    <row r="13" spans="1:23">
      <c r="A13" s="4"/>
      <c r="B13" s="9"/>
      <c r="C13" s="49"/>
      <c r="D13" s="49"/>
      <c r="E13" s="5">
        <f t="shared" si="1"/>
        <v>0</v>
      </c>
      <c r="F13" s="5"/>
      <c r="G13" s="46"/>
      <c r="H13" s="6">
        <f t="shared" si="2"/>
        <v>0</v>
      </c>
      <c r="I13" s="7"/>
      <c r="J13" s="16"/>
      <c r="K13" s="17"/>
      <c r="L13" s="17"/>
      <c r="M13" s="17"/>
      <c r="N13" s="17"/>
      <c r="O13" s="17"/>
      <c r="P13" s="17"/>
      <c r="Q13" s="18"/>
      <c r="R13" s="17"/>
      <c r="S13" s="18"/>
      <c r="T13" s="17"/>
      <c r="U13" s="18"/>
      <c r="V13" s="17"/>
      <c r="W13" s="23">
        <f t="shared" si="0"/>
        <v>0</v>
      </c>
    </row>
    <row r="14" spans="1:23">
      <c r="A14" s="4"/>
      <c r="B14" s="9"/>
      <c r="C14" s="49"/>
      <c r="D14" s="49"/>
      <c r="E14" s="5">
        <f t="shared" si="1"/>
        <v>0</v>
      </c>
      <c r="F14" s="5"/>
      <c r="G14" s="46"/>
      <c r="H14" s="6">
        <f t="shared" si="2"/>
        <v>0</v>
      </c>
      <c r="I14" s="7"/>
      <c r="J14" s="16"/>
      <c r="K14" s="17"/>
      <c r="L14" s="17"/>
      <c r="M14" s="17"/>
      <c r="N14" s="17"/>
      <c r="O14" s="17"/>
      <c r="P14" s="17"/>
      <c r="Q14" s="18"/>
      <c r="R14" s="17"/>
      <c r="S14" s="18"/>
      <c r="T14" s="17"/>
      <c r="U14" s="18"/>
      <c r="V14" s="17"/>
      <c r="W14" s="23">
        <f t="shared" si="0"/>
        <v>0</v>
      </c>
    </row>
    <row r="15" spans="1:23">
      <c r="A15" s="4"/>
      <c r="B15" s="10"/>
      <c r="C15" s="49"/>
      <c r="D15" s="49"/>
      <c r="E15" s="5">
        <f t="shared" si="1"/>
        <v>0</v>
      </c>
      <c r="F15" s="5"/>
      <c r="G15" s="46"/>
      <c r="H15" s="6">
        <f t="shared" si="2"/>
        <v>0</v>
      </c>
      <c r="I15" s="7"/>
      <c r="J15" s="16"/>
      <c r="K15" s="17"/>
      <c r="L15" s="17"/>
      <c r="M15" s="17"/>
      <c r="N15" s="17"/>
      <c r="O15" s="17"/>
      <c r="P15" s="17"/>
      <c r="Q15" s="18"/>
      <c r="R15" s="17"/>
      <c r="S15" s="18"/>
      <c r="T15" s="17"/>
      <c r="U15" s="18"/>
      <c r="V15" s="17"/>
      <c r="W15" s="23">
        <f t="shared" si="0"/>
        <v>0</v>
      </c>
    </row>
    <row r="16" spans="1:23">
      <c r="A16" s="4"/>
      <c r="B16" s="25"/>
      <c r="C16" s="49"/>
      <c r="D16" s="49"/>
      <c r="E16" s="5">
        <f t="shared" si="1"/>
        <v>0</v>
      </c>
      <c r="F16" s="5"/>
      <c r="G16" s="46"/>
      <c r="H16" s="6">
        <f t="shared" si="2"/>
        <v>0</v>
      </c>
      <c r="I16" s="7"/>
      <c r="J16" s="16"/>
      <c r="K16" s="17"/>
      <c r="L16" s="17"/>
      <c r="M16" s="17"/>
      <c r="N16" s="17"/>
      <c r="O16" s="17"/>
      <c r="P16" s="17"/>
      <c r="Q16" s="18"/>
      <c r="R16" s="17"/>
      <c r="S16" s="18"/>
      <c r="T16" s="17"/>
      <c r="U16" s="18"/>
      <c r="V16" s="17"/>
      <c r="W16" s="23">
        <f t="shared" si="0"/>
        <v>0</v>
      </c>
    </row>
    <row r="17" spans="1:23">
      <c r="A17" s="4"/>
      <c r="B17" s="25"/>
      <c r="C17" s="49"/>
      <c r="D17" s="49"/>
      <c r="E17" s="5">
        <f t="shared" si="1"/>
        <v>0</v>
      </c>
      <c r="F17" s="5"/>
      <c r="G17" s="46"/>
      <c r="H17" s="6">
        <f t="shared" si="2"/>
        <v>0</v>
      </c>
      <c r="I17" s="7"/>
      <c r="J17" s="16"/>
      <c r="K17" s="17"/>
      <c r="L17" s="17"/>
      <c r="M17" s="17"/>
      <c r="N17" s="17"/>
      <c r="O17" s="17"/>
      <c r="P17" s="17"/>
      <c r="Q17" s="18"/>
      <c r="R17" s="17"/>
      <c r="S17" s="18"/>
      <c r="T17" s="17"/>
      <c r="U17" s="18"/>
      <c r="V17" s="17"/>
      <c r="W17" s="23">
        <f t="shared" si="0"/>
        <v>0</v>
      </c>
    </row>
    <row r="18" spans="1:23">
      <c r="A18" s="4"/>
      <c r="B18" s="25"/>
      <c r="C18" s="49"/>
      <c r="D18" s="49"/>
      <c r="E18" s="5">
        <f t="shared" si="1"/>
        <v>0</v>
      </c>
      <c r="F18" s="5"/>
      <c r="G18" s="46"/>
      <c r="H18" s="6">
        <f t="shared" si="2"/>
        <v>0</v>
      </c>
      <c r="I18" s="7"/>
      <c r="J18" s="16"/>
      <c r="K18" s="17"/>
      <c r="L18" s="17"/>
      <c r="M18" s="17"/>
      <c r="N18" s="17"/>
      <c r="O18" s="17"/>
      <c r="P18" s="17"/>
      <c r="Q18" s="18"/>
      <c r="R18" s="17"/>
      <c r="S18" s="18"/>
      <c r="T18" s="17"/>
      <c r="U18" s="18"/>
      <c r="V18" s="17"/>
      <c r="W18" s="23">
        <f t="shared" si="0"/>
        <v>0</v>
      </c>
    </row>
    <row r="19" spans="1:23">
      <c r="A19" s="4"/>
      <c r="B19" s="25"/>
      <c r="C19" s="49"/>
      <c r="D19" s="49"/>
      <c r="E19" s="5">
        <f t="shared" si="1"/>
        <v>0</v>
      </c>
      <c r="F19" s="5"/>
      <c r="G19" s="46"/>
      <c r="H19" s="6">
        <f t="shared" si="2"/>
        <v>0</v>
      </c>
      <c r="I19" s="7"/>
      <c r="J19" s="16"/>
      <c r="K19" s="17"/>
      <c r="L19" s="17"/>
      <c r="M19" s="17"/>
      <c r="N19" s="17"/>
      <c r="O19" s="17"/>
      <c r="P19" s="17"/>
      <c r="Q19" s="18"/>
      <c r="R19" s="17"/>
      <c r="S19" s="18"/>
      <c r="T19" s="17"/>
      <c r="U19" s="18"/>
      <c r="V19" s="17"/>
      <c r="W19" s="23">
        <f t="shared" si="0"/>
        <v>0</v>
      </c>
    </row>
    <row r="20" spans="1:23">
      <c r="A20" s="4"/>
      <c r="B20" s="25"/>
      <c r="C20" s="49"/>
      <c r="D20" s="49"/>
      <c r="E20" s="5">
        <f t="shared" si="1"/>
        <v>0</v>
      </c>
      <c r="F20" s="5"/>
      <c r="G20" s="46"/>
      <c r="H20" s="6">
        <f t="shared" si="2"/>
        <v>0</v>
      </c>
      <c r="I20" s="7"/>
      <c r="J20" s="16"/>
      <c r="K20" s="17"/>
      <c r="L20" s="17"/>
      <c r="M20" s="17"/>
      <c r="N20" s="17"/>
      <c r="O20" s="17"/>
      <c r="P20" s="17"/>
      <c r="Q20" s="18"/>
      <c r="R20" s="17"/>
      <c r="S20" s="18"/>
      <c r="T20" s="17"/>
      <c r="U20" s="18"/>
      <c r="V20" s="17"/>
      <c r="W20" s="23">
        <f t="shared" si="0"/>
        <v>0</v>
      </c>
    </row>
    <row r="21" spans="1:23">
      <c r="A21" s="4"/>
      <c r="B21" s="50"/>
      <c r="C21" s="49"/>
      <c r="D21" s="49"/>
      <c r="E21" s="5">
        <f t="shared" si="1"/>
        <v>0</v>
      </c>
      <c r="F21" s="5"/>
      <c r="G21" s="47"/>
      <c r="H21" s="6">
        <f t="shared" si="2"/>
        <v>0</v>
      </c>
      <c r="I21" s="7"/>
      <c r="J21" s="16"/>
      <c r="K21" s="17"/>
      <c r="L21" s="17"/>
      <c r="M21" s="17"/>
      <c r="N21" s="17"/>
      <c r="O21" s="17"/>
      <c r="P21" s="17"/>
      <c r="Q21" s="18"/>
      <c r="R21" s="17"/>
      <c r="S21" s="18"/>
      <c r="T21" s="17"/>
      <c r="U21" s="18"/>
      <c r="V21" s="17"/>
      <c r="W21" s="23">
        <f t="shared" si="0"/>
        <v>0</v>
      </c>
    </row>
    <row r="22" spans="1:23">
      <c r="A22" s="4"/>
      <c r="B22" s="25"/>
      <c r="C22" s="49"/>
      <c r="D22" s="49"/>
      <c r="E22" s="5">
        <f t="shared" si="1"/>
        <v>0</v>
      </c>
      <c r="F22" s="5"/>
      <c r="G22" s="46"/>
      <c r="H22" s="6">
        <f t="shared" si="2"/>
        <v>0</v>
      </c>
      <c r="I22" s="7"/>
      <c r="J22" s="16"/>
      <c r="K22" s="17"/>
      <c r="L22" s="17"/>
      <c r="M22" s="17"/>
      <c r="N22" s="17"/>
      <c r="O22" s="17"/>
      <c r="P22" s="17"/>
      <c r="Q22" s="18"/>
      <c r="R22" s="17"/>
      <c r="S22" s="18"/>
      <c r="T22" s="17"/>
      <c r="U22" s="18"/>
      <c r="V22" s="17"/>
      <c r="W22" s="23">
        <f t="shared" si="0"/>
        <v>0</v>
      </c>
    </row>
    <row r="23" spans="1:23">
      <c r="A23" s="4"/>
      <c r="B23" s="25"/>
      <c r="C23" s="49"/>
      <c r="D23" s="49"/>
      <c r="E23" s="5">
        <f t="shared" si="1"/>
        <v>0</v>
      </c>
      <c r="F23" s="5"/>
      <c r="G23" s="46"/>
      <c r="H23" s="6">
        <f t="shared" si="2"/>
        <v>0</v>
      </c>
      <c r="I23" s="7"/>
      <c r="J23" s="16"/>
      <c r="K23" s="17"/>
      <c r="L23" s="17"/>
      <c r="M23" s="17"/>
      <c r="N23" s="17"/>
      <c r="O23" s="17"/>
      <c r="P23" s="17"/>
      <c r="Q23" s="18"/>
      <c r="R23" s="17"/>
      <c r="S23" s="18"/>
      <c r="T23" s="17"/>
      <c r="U23" s="18"/>
      <c r="V23" s="17"/>
      <c r="W23" s="23">
        <f t="shared" si="0"/>
        <v>0</v>
      </c>
    </row>
    <row r="24" spans="1:23">
      <c r="A24" s="4"/>
      <c r="B24" s="25"/>
      <c r="C24" s="49"/>
      <c r="D24" s="49"/>
      <c r="E24" s="5">
        <f t="shared" si="1"/>
        <v>0</v>
      </c>
      <c r="F24" s="5"/>
      <c r="G24" s="46"/>
      <c r="H24" s="6">
        <f t="shared" si="2"/>
        <v>0</v>
      </c>
      <c r="I24" s="7"/>
      <c r="J24" s="16"/>
      <c r="K24" s="17"/>
      <c r="L24" s="17"/>
      <c r="M24" s="17"/>
      <c r="N24" s="17"/>
      <c r="O24" s="17"/>
      <c r="P24" s="17"/>
      <c r="Q24" s="18"/>
      <c r="R24" s="17"/>
      <c r="S24" s="18"/>
      <c r="T24" s="17"/>
      <c r="U24" s="18"/>
      <c r="V24" s="17"/>
      <c r="W24" s="23">
        <f t="shared" si="0"/>
        <v>0</v>
      </c>
    </row>
    <row r="25" spans="1:23">
      <c r="A25" s="4"/>
      <c r="B25" s="25"/>
      <c r="C25" s="49"/>
      <c r="D25" s="49"/>
      <c r="E25" s="5">
        <f t="shared" si="1"/>
        <v>0</v>
      </c>
      <c r="F25" s="5"/>
      <c r="G25" s="46"/>
      <c r="H25" s="6">
        <f t="shared" si="2"/>
        <v>0</v>
      </c>
      <c r="I25" s="7"/>
      <c r="J25" s="16"/>
      <c r="K25" s="17"/>
      <c r="L25" s="17"/>
      <c r="M25" s="17"/>
      <c r="N25" s="17"/>
      <c r="O25" s="17"/>
      <c r="P25" s="17"/>
      <c r="Q25" s="18"/>
      <c r="R25" s="17"/>
      <c r="S25" s="18"/>
      <c r="T25" s="17"/>
      <c r="U25" s="18"/>
      <c r="V25" s="17"/>
      <c r="W25" s="23">
        <f t="shared" si="0"/>
        <v>0</v>
      </c>
    </row>
    <row r="26" spans="1:23">
      <c r="A26" s="4"/>
      <c r="B26" s="25"/>
      <c r="C26" s="49"/>
      <c r="D26" s="49"/>
      <c r="E26" s="5">
        <f t="shared" si="1"/>
        <v>0</v>
      </c>
      <c r="F26" s="5"/>
      <c r="G26" s="48"/>
      <c r="H26" s="6">
        <f t="shared" si="2"/>
        <v>0</v>
      </c>
      <c r="I26" s="7"/>
      <c r="J26" s="16"/>
      <c r="K26" s="17"/>
      <c r="L26" s="17"/>
      <c r="M26" s="17"/>
      <c r="N26" s="17"/>
      <c r="O26" s="17"/>
      <c r="P26" s="17"/>
      <c r="Q26" s="18"/>
      <c r="R26" s="17"/>
      <c r="S26" s="18"/>
      <c r="T26" s="17"/>
      <c r="U26" s="18"/>
      <c r="V26" s="17"/>
      <c r="W26" s="23">
        <f t="shared" si="0"/>
        <v>0</v>
      </c>
    </row>
    <row r="27" spans="1:23">
      <c r="A27" s="4"/>
      <c r="B27" s="25"/>
      <c r="C27" s="49"/>
      <c r="D27" s="49"/>
      <c r="E27" s="5">
        <f t="shared" si="1"/>
        <v>0</v>
      </c>
      <c r="F27" s="5"/>
      <c r="G27" s="46"/>
      <c r="H27" s="6">
        <f t="shared" si="2"/>
        <v>0</v>
      </c>
      <c r="I27" s="7"/>
      <c r="J27" s="16"/>
      <c r="K27" s="17"/>
      <c r="L27" s="17"/>
      <c r="M27" s="17"/>
      <c r="N27" s="17"/>
      <c r="O27" s="17"/>
      <c r="P27" s="17"/>
      <c r="Q27" s="18"/>
      <c r="R27" s="17"/>
      <c r="S27" s="18"/>
      <c r="T27" s="17"/>
      <c r="U27" s="18"/>
      <c r="V27" s="17"/>
      <c r="W27" s="23">
        <f t="shared" si="0"/>
        <v>0</v>
      </c>
    </row>
    <row r="28" spans="1:23">
      <c r="A28" s="4"/>
      <c r="B28" s="25"/>
      <c r="C28" s="49"/>
      <c r="D28" s="49"/>
      <c r="E28" s="5">
        <f t="shared" si="1"/>
        <v>0</v>
      </c>
      <c r="F28" s="5"/>
      <c r="G28" s="46"/>
      <c r="H28" s="6">
        <f t="shared" si="2"/>
        <v>0</v>
      </c>
      <c r="I28" s="7"/>
      <c r="J28" s="16"/>
      <c r="K28" s="17"/>
      <c r="L28" s="17"/>
      <c r="M28" s="17"/>
      <c r="N28" s="17"/>
      <c r="O28" s="17"/>
      <c r="P28" s="17"/>
      <c r="Q28" s="18"/>
      <c r="R28" s="17"/>
      <c r="S28" s="18"/>
      <c r="T28" s="17"/>
      <c r="U28" s="18"/>
      <c r="V28" s="17"/>
      <c r="W28" s="23">
        <f t="shared" si="0"/>
        <v>0</v>
      </c>
    </row>
    <row r="29" spans="1:23">
      <c r="A29" s="4"/>
      <c r="B29" s="25"/>
      <c r="C29" s="49"/>
      <c r="D29" s="49"/>
      <c r="E29" s="5">
        <f t="shared" si="1"/>
        <v>0</v>
      </c>
      <c r="F29" s="5"/>
      <c r="G29" s="46"/>
      <c r="H29" s="6">
        <f t="shared" si="2"/>
        <v>0</v>
      </c>
      <c r="I29" s="7"/>
      <c r="J29" s="16"/>
      <c r="K29" s="17"/>
      <c r="L29" s="17"/>
      <c r="M29" s="17"/>
      <c r="N29" s="17"/>
      <c r="O29" s="17"/>
      <c r="P29" s="17"/>
      <c r="Q29" s="18"/>
      <c r="R29" s="17"/>
      <c r="S29" s="18"/>
      <c r="T29" s="17"/>
      <c r="U29" s="18"/>
      <c r="V29" s="17"/>
      <c r="W29" s="23">
        <f t="shared" si="0"/>
        <v>0</v>
      </c>
    </row>
    <row r="30" spans="1:23">
      <c r="A30" s="4"/>
      <c r="B30" s="25"/>
      <c r="C30" s="49"/>
      <c r="D30" s="49"/>
      <c r="E30" s="5">
        <f t="shared" si="1"/>
        <v>0</v>
      </c>
      <c r="F30" s="5"/>
      <c r="G30" s="46"/>
      <c r="H30" s="6">
        <f t="shared" si="2"/>
        <v>0</v>
      </c>
      <c r="I30" s="7"/>
      <c r="J30" s="16"/>
      <c r="K30" s="17"/>
      <c r="L30" s="17"/>
      <c r="M30" s="17"/>
      <c r="N30" s="17"/>
      <c r="O30" s="17"/>
      <c r="P30" s="17"/>
      <c r="Q30" s="18"/>
      <c r="R30" s="17"/>
      <c r="S30" s="18"/>
      <c r="T30" s="17"/>
      <c r="U30" s="18"/>
      <c r="V30" s="17"/>
      <c r="W30" s="23">
        <f t="shared" si="0"/>
        <v>0</v>
      </c>
    </row>
    <row r="31" spans="1:23">
      <c r="A31" s="4"/>
      <c r="B31" s="25"/>
      <c r="C31" s="49"/>
      <c r="D31" s="49"/>
      <c r="E31" s="5">
        <f t="shared" si="1"/>
        <v>0</v>
      </c>
      <c r="F31" s="5"/>
      <c r="G31" s="46"/>
      <c r="H31" s="6">
        <f>G31+H30</f>
        <v>0</v>
      </c>
      <c r="I31" s="7"/>
      <c r="J31" s="16"/>
      <c r="K31" s="17"/>
      <c r="L31" s="17"/>
      <c r="M31" s="17"/>
      <c r="N31" s="17"/>
      <c r="O31" s="17"/>
      <c r="P31" s="17"/>
      <c r="Q31" s="18"/>
      <c r="R31" s="17"/>
      <c r="S31" s="18"/>
      <c r="T31" s="17"/>
      <c r="U31" s="18"/>
      <c r="V31" s="17"/>
      <c r="W31" s="23">
        <f t="shared" si="0"/>
        <v>0</v>
      </c>
    </row>
    <row r="32" spans="1:23">
      <c r="A32" s="4"/>
      <c r="B32" s="25"/>
      <c r="C32" s="49"/>
      <c r="D32" s="49"/>
      <c r="E32" s="5">
        <f t="shared" si="1"/>
        <v>0</v>
      </c>
      <c r="F32" s="5"/>
      <c r="G32" s="46"/>
      <c r="H32" s="6">
        <f t="shared" si="2"/>
        <v>0</v>
      </c>
      <c r="I32" s="7"/>
      <c r="J32" s="16"/>
      <c r="K32" s="17"/>
      <c r="L32" s="17"/>
      <c r="M32" s="17"/>
      <c r="N32" s="17"/>
      <c r="O32" s="17"/>
      <c r="P32" s="17"/>
      <c r="Q32" s="18"/>
      <c r="R32" s="17"/>
      <c r="S32" s="18"/>
      <c r="T32" s="17"/>
      <c r="U32" s="18"/>
      <c r="V32" s="17"/>
      <c r="W32" s="23">
        <f t="shared" si="0"/>
        <v>0</v>
      </c>
    </row>
    <row r="33" spans="1:23">
      <c r="A33" s="4"/>
      <c r="B33" s="8"/>
      <c r="C33" s="49"/>
      <c r="D33" s="49"/>
      <c r="E33" s="5">
        <f t="shared" si="1"/>
        <v>0</v>
      </c>
      <c r="F33" s="5"/>
      <c r="G33" s="46"/>
      <c r="H33" s="6">
        <f t="shared" si="2"/>
        <v>0</v>
      </c>
      <c r="I33" s="7"/>
      <c r="J33" s="16"/>
      <c r="K33" s="17"/>
      <c r="L33" s="17"/>
      <c r="M33" s="17"/>
      <c r="N33" s="17"/>
      <c r="O33" s="17"/>
      <c r="P33" s="17"/>
      <c r="Q33" s="18"/>
      <c r="R33" s="17"/>
      <c r="S33" s="18"/>
      <c r="T33" s="17"/>
      <c r="U33" s="18"/>
      <c r="V33" s="17"/>
      <c r="W33" s="23">
        <f t="shared" si="0"/>
        <v>0</v>
      </c>
    </row>
    <row r="34" spans="1:23">
      <c r="A34" s="4"/>
      <c r="B34" s="92"/>
      <c r="C34" s="49"/>
      <c r="D34" s="49"/>
      <c r="E34" s="5">
        <f t="shared" si="1"/>
        <v>0</v>
      </c>
      <c r="F34" s="5"/>
      <c r="G34" s="46"/>
      <c r="H34" s="6">
        <f t="shared" si="2"/>
        <v>0</v>
      </c>
      <c r="I34" s="7"/>
      <c r="J34" s="16"/>
      <c r="K34" s="17"/>
      <c r="L34" s="17"/>
      <c r="M34" s="17"/>
      <c r="N34" s="17"/>
      <c r="O34" s="17"/>
      <c r="P34" s="17"/>
      <c r="Q34" s="18"/>
      <c r="R34" s="17"/>
      <c r="S34" s="18"/>
      <c r="T34" s="17"/>
      <c r="U34" s="18"/>
      <c r="V34" s="17"/>
      <c r="W34" s="23">
        <f t="shared" si="0"/>
        <v>0</v>
      </c>
    </row>
    <row r="35" spans="1:23">
      <c r="A35" s="91" t="s">
        <v>150</v>
      </c>
      <c r="B35" s="93">
        <f>SUM(B4:B34)</f>
        <v>0</v>
      </c>
      <c r="C35" s="93">
        <f t="shared" ref="C35:G35" si="3">SUM(C4:C34)</f>
        <v>0</v>
      </c>
      <c r="D35" s="93">
        <f t="shared" si="3"/>
        <v>0</v>
      </c>
      <c r="E35" s="93">
        <f t="shared" si="3"/>
        <v>0</v>
      </c>
      <c r="F35" s="93">
        <f>F34</f>
        <v>0</v>
      </c>
      <c r="G35" s="93">
        <f t="shared" si="3"/>
        <v>0</v>
      </c>
      <c r="H35" s="97">
        <f>H34</f>
        <v>0</v>
      </c>
      <c r="I35" s="12">
        <f>SUM(I4:I34)</f>
        <v>0</v>
      </c>
      <c r="J35" s="12">
        <f>J34</f>
        <v>0</v>
      </c>
      <c r="K35" s="19">
        <f t="shared" ref="K35:W35" si="4">SUM(K4:K34)</f>
        <v>0</v>
      </c>
      <c r="L35" s="19">
        <f t="shared" si="4"/>
        <v>0</v>
      </c>
      <c r="M35" s="19">
        <f t="shared" si="4"/>
        <v>0</v>
      </c>
      <c r="N35" s="19">
        <f t="shared" si="4"/>
        <v>0</v>
      </c>
      <c r="O35" s="19">
        <f t="shared" si="4"/>
        <v>0</v>
      </c>
      <c r="P35" s="19">
        <f t="shared" si="4"/>
        <v>0</v>
      </c>
      <c r="Q35" s="19">
        <f t="shared" si="4"/>
        <v>0</v>
      </c>
      <c r="R35" s="19">
        <f t="shared" si="4"/>
        <v>0</v>
      </c>
      <c r="S35" s="19">
        <f t="shared" si="4"/>
        <v>0</v>
      </c>
      <c r="T35" s="19">
        <f t="shared" si="4"/>
        <v>0</v>
      </c>
      <c r="U35" s="19">
        <f t="shared" si="4"/>
        <v>0</v>
      </c>
      <c r="V35" s="19">
        <f t="shared" si="4"/>
        <v>0</v>
      </c>
      <c r="W35" s="19">
        <f t="shared" si="4"/>
        <v>0</v>
      </c>
    </row>
  </sheetData>
  <mergeCells count="2">
    <mergeCell ref="A1:I1"/>
    <mergeCell ref="J1:W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B22" sqref="B22"/>
    </sheetView>
  </sheetViews>
  <sheetFormatPr defaultColWidth="9.140625" defaultRowHeight="12.75"/>
  <cols>
    <col min="1" max="1" width="22.42578125" customWidth="1"/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2.85546875" customWidth="1"/>
    <col min="10" max="10" width="14" customWidth="1"/>
    <col min="11" max="11" width="13" customWidth="1"/>
  </cols>
  <sheetData>
    <row r="1" spans="1:23" ht="30.95" customHeight="1">
      <c r="A1" s="203"/>
      <c r="B1" s="203"/>
      <c r="C1" s="203"/>
      <c r="D1" s="203"/>
      <c r="E1" s="203"/>
      <c r="F1" s="203"/>
      <c r="G1" s="203"/>
      <c r="H1" s="203"/>
      <c r="I1" s="203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23" ht="51">
      <c r="A3" s="94" t="s">
        <v>130</v>
      </c>
      <c r="B3" s="94" t="s">
        <v>131</v>
      </c>
      <c r="C3" s="94" t="s">
        <v>151</v>
      </c>
      <c r="D3" s="94" t="s">
        <v>132</v>
      </c>
      <c r="E3" s="94" t="s">
        <v>133</v>
      </c>
      <c r="F3" s="94" t="s">
        <v>134</v>
      </c>
      <c r="G3" s="94" t="s">
        <v>135</v>
      </c>
      <c r="H3" s="94" t="s">
        <v>136</v>
      </c>
      <c r="I3" s="94" t="s">
        <v>137</v>
      </c>
      <c r="J3" s="95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3">
      <c r="A4" s="4"/>
      <c r="B4" s="25"/>
      <c r="C4" s="49"/>
      <c r="D4" s="49"/>
      <c r="E4" s="5">
        <f>+B4-D4-C4</f>
        <v>0</v>
      </c>
      <c r="F4" s="5"/>
      <c r="G4" s="46"/>
      <c r="H4" s="6">
        <f>G4</f>
        <v>0</v>
      </c>
      <c r="I4" s="7"/>
      <c r="J4" s="16"/>
      <c r="K4" s="17"/>
      <c r="L4" s="17"/>
      <c r="M4" s="17"/>
      <c r="N4" s="17"/>
      <c r="O4" s="17"/>
      <c r="P4" s="17"/>
      <c r="Q4" s="18"/>
      <c r="R4" s="17"/>
      <c r="S4" s="18"/>
      <c r="T4" s="17"/>
      <c r="U4" s="18"/>
      <c r="V4" s="17"/>
      <c r="W4" s="23">
        <f t="shared" ref="W4:W34" si="0">SUM(K4:V4)</f>
        <v>0</v>
      </c>
    </row>
    <row r="5" spans="1:23">
      <c r="A5" s="4"/>
      <c r="B5" s="25"/>
      <c r="C5" s="49"/>
      <c r="D5" s="49"/>
      <c r="E5" s="5">
        <f t="shared" ref="E5:E34" si="1">+B5-D5-C5</f>
        <v>0</v>
      </c>
      <c r="F5" s="5"/>
      <c r="G5" s="46"/>
      <c r="H5" s="6">
        <f>G5+H4</f>
        <v>0</v>
      </c>
      <c r="I5" s="7"/>
      <c r="J5" s="16"/>
      <c r="K5" s="17"/>
      <c r="L5" s="17"/>
      <c r="M5" s="17"/>
      <c r="N5" s="17"/>
      <c r="O5" s="17"/>
      <c r="P5" s="17"/>
      <c r="Q5" s="18"/>
      <c r="R5" s="17"/>
      <c r="S5" s="18"/>
      <c r="T5" s="17"/>
      <c r="U5" s="18"/>
      <c r="V5" s="17"/>
      <c r="W5" s="23">
        <f t="shared" si="0"/>
        <v>0</v>
      </c>
    </row>
    <row r="6" spans="1:23">
      <c r="A6" s="4"/>
      <c r="B6" s="25"/>
      <c r="C6" s="49"/>
      <c r="D6" s="49"/>
      <c r="E6" s="5">
        <f t="shared" si="1"/>
        <v>0</v>
      </c>
      <c r="F6" s="5"/>
      <c r="G6" s="46"/>
      <c r="H6" s="6">
        <f>G6+H5</f>
        <v>0</v>
      </c>
      <c r="I6" s="7"/>
      <c r="J6" s="16"/>
      <c r="K6" s="17"/>
      <c r="L6" s="17"/>
      <c r="M6" s="17"/>
      <c r="N6" s="17"/>
      <c r="O6" s="17"/>
      <c r="P6" s="17"/>
      <c r="Q6" s="18"/>
      <c r="R6" s="17"/>
      <c r="S6" s="18"/>
      <c r="T6" s="17"/>
      <c r="U6" s="18"/>
      <c r="V6" s="17"/>
      <c r="W6" s="23">
        <f t="shared" si="0"/>
        <v>0</v>
      </c>
    </row>
    <row r="7" spans="1:23">
      <c r="A7" s="4"/>
      <c r="B7" s="25"/>
      <c r="C7" s="49"/>
      <c r="D7" s="49"/>
      <c r="E7" s="5">
        <f t="shared" si="1"/>
        <v>0</v>
      </c>
      <c r="F7" s="5"/>
      <c r="G7" s="46"/>
      <c r="H7" s="6">
        <f t="shared" ref="H7:H34" si="2">G7+H6</f>
        <v>0</v>
      </c>
      <c r="I7" s="7"/>
      <c r="J7" s="16"/>
      <c r="K7" s="17"/>
      <c r="L7" s="17"/>
      <c r="M7" s="17"/>
      <c r="N7" s="17"/>
      <c r="O7" s="17"/>
      <c r="P7" s="17"/>
      <c r="Q7" s="18"/>
      <c r="R7" s="17"/>
      <c r="S7" s="18"/>
      <c r="T7" s="17"/>
      <c r="U7" s="18"/>
      <c r="V7" s="17"/>
      <c r="W7" s="23">
        <f t="shared" si="0"/>
        <v>0</v>
      </c>
    </row>
    <row r="8" spans="1:23">
      <c r="A8" s="4"/>
      <c r="B8" s="25"/>
      <c r="C8" s="49"/>
      <c r="D8" s="49"/>
      <c r="E8" s="5">
        <f t="shared" si="1"/>
        <v>0</v>
      </c>
      <c r="F8" s="5"/>
      <c r="G8" s="46"/>
      <c r="H8" s="6">
        <f t="shared" si="2"/>
        <v>0</v>
      </c>
      <c r="I8" s="7"/>
      <c r="J8" s="16"/>
      <c r="K8" s="17"/>
      <c r="L8" s="17"/>
      <c r="M8" s="17"/>
      <c r="N8" s="17"/>
      <c r="O8" s="17"/>
      <c r="P8" s="17"/>
      <c r="Q8" s="18"/>
      <c r="R8" s="17"/>
      <c r="S8" s="18"/>
      <c r="T8" s="17"/>
      <c r="U8" s="18"/>
      <c r="V8" s="17"/>
      <c r="W8" s="23">
        <f t="shared" si="0"/>
        <v>0</v>
      </c>
    </row>
    <row r="9" spans="1:23">
      <c r="A9" s="4"/>
      <c r="B9" s="25"/>
      <c r="C9" s="49"/>
      <c r="D9" s="49"/>
      <c r="E9" s="5">
        <f t="shared" si="1"/>
        <v>0</v>
      </c>
      <c r="F9" s="5"/>
      <c r="G9" s="46"/>
      <c r="H9" s="6">
        <f t="shared" si="2"/>
        <v>0</v>
      </c>
      <c r="I9" s="7"/>
      <c r="J9" s="16"/>
      <c r="K9" s="17"/>
      <c r="L9" s="17"/>
      <c r="M9" s="17"/>
      <c r="N9" s="17"/>
      <c r="O9" s="17"/>
      <c r="P9" s="17"/>
      <c r="Q9" s="18"/>
      <c r="R9" s="17"/>
      <c r="S9" s="18"/>
      <c r="T9" s="17"/>
      <c r="U9" s="18"/>
      <c r="V9" s="17"/>
      <c r="W9" s="23">
        <f t="shared" si="0"/>
        <v>0</v>
      </c>
    </row>
    <row r="10" spans="1:23">
      <c r="A10" s="4"/>
      <c r="B10" s="25"/>
      <c r="C10" s="49"/>
      <c r="D10" s="49"/>
      <c r="E10" s="5">
        <f t="shared" si="1"/>
        <v>0</v>
      </c>
      <c r="F10" s="5"/>
      <c r="G10" s="46"/>
      <c r="H10" s="6">
        <f t="shared" si="2"/>
        <v>0</v>
      </c>
      <c r="I10" s="7"/>
      <c r="J10" s="16"/>
      <c r="K10" s="17"/>
      <c r="L10" s="17"/>
      <c r="M10" s="17"/>
      <c r="N10" s="17"/>
      <c r="O10" s="17"/>
      <c r="P10" s="17"/>
      <c r="Q10" s="18"/>
      <c r="R10" s="17"/>
      <c r="S10" s="18"/>
      <c r="T10" s="17"/>
      <c r="U10" s="18"/>
      <c r="V10" s="17"/>
      <c r="W10" s="23">
        <f t="shared" si="0"/>
        <v>0</v>
      </c>
    </row>
    <row r="11" spans="1:23">
      <c r="A11" s="4"/>
      <c r="B11" s="26"/>
      <c r="C11" s="49"/>
      <c r="D11" s="49"/>
      <c r="E11" s="5">
        <f t="shared" si="1"/>
        <v>0</v>
      </c>
      <c r="F11" s="5"/>
      <c r="G11" s="46"/>
      <c r="H11" s="6">
        <f t="shared" si="2"/>
        <v>0</v>
      </c>
      <c r="I11" s="7"/>
      <c r="J11" s="16"/>
      <c r="K11" s="17"/>
      <c r="L11" s="17"/>
      <c r="M11" s="17"/>
      <c r="N11" s="17"/>
      <c r="O11" s="17"/>
      <c r="P11" s="17"/>
      <c r="Q11" s="18"/>
      <c r="R11" s="17"/>
      <c r="S11" s="18"/>
      <c r="T11" s="17"/>
      <c r="U11" s="18"/>
      <c r="V11" s="17"/>
      <c r="W11" s="23">
        <f t="shared" si="0"/>
        <v>0</v>
      </c>
    </row>
    <row r="12" spans="1:23">
      <c r="A12" s="4"/>
      <c r="B12" s="25"/>
      <c r="C12" s="49"/>
      <c r="D12" s="49"/>
      <c r="E12" s="5">
        <f t="shared" si="1"/>
        <v>0</v>
      </c>
      <c r="F12" s="5"/>
      <c r="G12" s="46"/>
      <c r="H12" s="6">
        <f t="shared" si="2"/>
        <v>0</v>
      </c>
      <c r="I12" s="7"/>
      <c r="J12" s="16"/>
      <c r="K12" s="17"/>
      <c r="L12" s="17"/>
      <c r="M12" s="17"/>
      <c r="N12" s="17"/>
      <c r="O12" s="17"/>
      <c r="P12" s="17"/>
      <c r="Q12" s="18"/>
      <c r="R12" s="17"/>
      <c r="S12" s="18"/>
      <c r="T12" s="17"/>
      <c r="U12" s="18"/>
      <c r="V12" s="17"/>
      <c r="W12" s="23">
        <f t="shared" si="0"/>
        <v>0</v>
      </c>
    </row>
    <row r="13" spans="1:23">
      <c r="A13" s="4"/>
      <c r="B13" s="9"/>
      <c r="C13" s="49"/>
      <c r="D13" s="49"/>
      <c r="E13" s="5">
        <f t="shared" si="1"/>
        <v>0</v>
      </c>
      <c r="F13" s="5"/>
      <c r="G13" s="46"/>
      <c r="H13" s="6">
        <f t="shared" si="2"/>
        <v>0</v>
      </c>
      <c r="I13" s="7"/>
      <c r="J13" s="16"/>
      <c r="K13" s="17"/>
      <c r="L13" s="17"/>
      <c r="M13" s="17"/>
      <c r="N13" s="17"/>
      <c r="O13" s="17"/>
      <c r="P13" s="17"/>
      <c r="Q13" s="18"/>
      <c r="R13" s="17"/>
      <c r="S13" s="18"/>
      <c r="T13" s="17"/>
      <c r="U13" s="18"/>
      <c r="V13" s="17"/>
      <c r="W13" s="23">
        <f t="shared" si="0"/>
        <v>0</v>
      </c>
    </row>
    <row r="14" spans="1:23">
      <c r="A14" s="4"/>
      <c r="B14" s="9"/>
      <c r="C14" s="49"/>
      <c r="D14" s="49"/>
      <c r="E14" s="5">
        <f t="shared" si="1"/>
        <v>0</v>
      </c>
      <c r="F14" s="5"/>
      <c r="G14" s="46"/>
      <c r="H14" s="6">
        <f t="shared" si="2"/>
        <v>0</v>
      </c>
      <c r="I14" s="7"/>
      <c r="J14" s="16"/>
      <c r="K14" s="17"/>
      <c r="L14" s="17"/>
      <c r="M14" s="17"/>
      <c r="N14" s="17"/>
      <c r="O14" s="17"/>
      <c r="P14" s="17"/>
      <c r="Q14" s="18"/>
      <c r="R14" s="17"/>
      <c r="S14" s="18"/>
      <c r="T14" s="17"/>
      <c r="U14" s="18"/>
      <c r="V14" s="17"/>
      <c r="W14" s="23">
        <f t="shared" si="0"/>
        <v>0</v>
      </c>
    </row>
    <row r="15" spans="1:23">
      <c r="A15" s="4"/>
      <c r="B15" s="10"/>
      <c r="C15" s="49"/>
      <c r="D15" s="49"/>
      <c r="E15" s="5">
        <f t="shared" si="1"/>
        <v>0</v>
      </c>
      <c r="F15" s="5"/>
      <c r="G15" s="46"/>
      <c r="H15" s="6">
        <f t="shared" si="2"/>
        <v>0</v>
      </c>
      <c r="I15" s="7"/>
      <c r="J15" s="16"/>
      <c r="K15" s="17"/>
      <c r="L15" s="17"/>
      <c r="M15" s="17"/>
      <c r="N15" s="17"/>
      <c r="O15" s="17"/>
      <c r="P15" s="17"/>
      <c r="Q15" s="18"/>
      <c r="R15" s="17"/>
      <c r="S15" s="18"/>
      <c r="T15" s="17"/>
      <c r="U15" s="18"/>
      <c r="V15" s="17"/>
      <c r="W15" s="23">
        <f t="shared" si="0"/>
        <v>0</v>
      </c>
    </row>
    <row r="16" spans="1:23">
      <c r="A16" s="4"/>
      <c r="B16" s="25"/>
      <c r="C16" s="49"/>
      <c r="D16" s="49"/>
      <c r="E16" s="5">
        <f t="shared" si="1"/>
        <v>0</v>
      </c>
      <c r="F16" s="5"/>
      <c r="G16" s="46"/>
      <c r="H16" s="6">
        <f t="shared" si="2"/>
        <v>0</v>
      </c>
      <c r="I16" s="7"/>
      <c r="J16" s="16"/>
      <c r="K16" s="17"/>
      <c r="L16" s="17"/>
      <c r="M16" s="17"/>
      <c r="N16" s="17"/>
      <c r="O16" s="17"/>
      <c r="P16" s="17"/>
      <c r="Q16" s="18"/>
      <c r="R16" s="17"/>
      <c r="S16" s="18"/>
      <c r="T16" s="17"/>
      <c r="U16" s="18"/>
      <c r="V16" s="17"/>
      <c r="W16" s="23">
        <f t="shared" si="0"/>
        <v>0</v>
      </c>
    </row>
    <row r="17" spans="1:23">
      <c r="A17" s="4"/>
      <c r="B17" s="25"/>
      <c r="C17" s="49"/>
      <c r="D17" s="49"/>
      <c r="E17" s="5">
        <f t="shared" si="1"/>
        <v>0</v>
      </c>
      <c r="F17" s="5"/>
      <c r="G17" s="46"/>
      <c r="H17" s="6">
        <f t="shared" si="2"/>
        <v>0</v>
      </c>
      <c r="I17" s="7"/>
      <c r="J17" s="16"/>
      <c r="K17" s="17"/>
      <c r="L17" s="17"/>
      <c r="M17" s="17"/>
      <c r="N17" s="17"/>
      <c r="O17" s="17"/>
      <c r="P17" s="17"/>
      <c r="Q17" s="18"/>
      <c r="R17" s="17"/>
      <c r="S17" s="18"/>
      <c r="T17" s="17"/>
      <c r="U17" s="18"/>
      <c r="V17" s="17"/>
      <c r="W17" s="23">
        <f t="shared" si="0"/>
        <v>0</v>
      </c>
    </row>
    <row r="18" spans="1:23">
      <c r="A18" s="4"/>
      <c r="B18" s="25"/>
      <c r="C18" s="49"/>
      <c r="D18" s="49"/>
      <c r="E18" s="5">
        <f t="shared" si="1"/>
        <v>0</v>
      </c>
      <c r="F18" s="5"/>
      <c r="G18" s="46"/>
      <c r="H18" s="6">
        <f t="shared" si="2"/>
        <v>0</v>
      </c>
      <c r="I18" s="7"/>
      <c r="J18" s="16"/>
      <c r="K18" s="17"/>
      <c r="L18" s="17"/>
      <c r="M18" s="17"/>
      <c r="N18" s="17"/>
      <c r="O18" s="17"/>
      <c r="P18" s="17"/>
      <c r="Q18" s="18"/>
      <c r="R18" s="17"/>
      <c r="S18" s="18"/>
      <c r="T18" s="17"/>
      <c r="U18" s="18"/>
      <c r="V18" s="17"/>
      <c r="W18" s="23">
        <f t="shared" si="0"/>
        <v>0</v>
      </c>
    </row>
    <row r="19" spans="1:23">
      <c r="A19" s="4"/>
      <c r="B19" s="25"/>
      <c r="C19" s="49"/>
      <c r="D19" s="49"/>
      <c r="E19" s="5">
        <f t="shared" si="1"/>
        <v>0</v>
      </c>
      <c r="F19" s="5"/>
      <c r="G19" s="46"/>
      <c r="H19" s="6">
        <f t="shared" si="2"/>
        <v>0</v>
      </c>
      <c r="I19" s="7"/>
      <c r="J19" s="16"/>
      <c r="K19" s="17"/>
      <c r="L19" s="17"/>
      <c r="M19" s="17"/>
      <c r="N19" s="17"/>
      <c r="O19" s="17"/>
      <c r="P19" s="17"/>
      <c r="Q19" s="18"/>
      <c r="R19" s="17"/>
      <c r="S19" s="18"/>
      <c r="T19" s="17"/>
      <c r="U19" s="18"/>
      <c r="V19" s="17"/>
      <c r="W19" s="23">
        <f t="shared" si="0"/>
        <v>0</v>
      </c>
    </row>
    <row r="20" spans="1:23">
      <c r="A20" s="4"/>
      <c r="B20" s="25"/>
      <c r="C20" s="49"/>
      <c r="D20" s="49"/>
      <c r="E20" s="5">
        <f t="shared" si="1"/>
        <v>0</v>
      </c>
      <c r="F20" s="5"/>
      <c r="G20" s="46"/>
      <c r="H20" s="6">
        <f t="shared" si="2"/>
        <v>0</v>
      </c>
      <c r="I20" s="7"/>
      <c r="J20" s="16"/>
      <c r="K20" s="17"/>
      <c r="L20" s="17"/>
      <c r="M20" s="17"/>
      <c r="N20" s="17"/>
      <c r="O20" s="17"/>
      <c r="P20" s="17"/>
      <c r="Q20" s="18"/>
      <c r="R20" s="17"/>
      <c r="S20" s="18"/>
      <c r="T20" s="17"/>
      <c r="U20" s="18"/>
      <c r="V20" s="17"/>
      <c r="W20" s="23">
        <f t="shared" si="0"/>
        <v>0</v>
      </c>
    </row>
    <row r="21" spans="1:23">
      <c r="A21" s="4"/>
      <c r="B21" s="50"/>
      <c r="C21" s="49"/>
      <c r="D21" s="49"/>
      <c r="E21" s="5">
        <f t="shared" si="1"/>
        <v>0</v>
      </c>
      <c r="F21" s="5"/>
      <c r="G21" s="47"/>
      <c r="H21" s="6">
        <f t="shared" si="2"/>
        <v>0</v>
      </c>
      <c r="I21" s="7"/>
      <c r="J21" s="16"/>
      <c r="K21" s="17"/>
      <c r="L21" s="17"/>
      <c r="M21" s="17"/>
      <c r="N21" s="17"/>
      <c r="O21" s="17"/>
      <c r="P21" s="17"/>
      <c r="Q21" s="18"/>
      <c r="R21" s="17"/>
      <c r="S21" s="18"/>
      <c r="T21" s="17"/>
      <c r="U21" s="18"/>
      <c r="V21" s="17"/>
      <c r="W21" s="23">
        <f t="shared" si="0"/>
        <v>0</v>
      </c>
    </row>
    <row r="22" spans="1:23">
      <c r="A22" s="4"/>
      <c r="B22" s="25"/>
      <c r="C22" s="49"/>
      <c r="D22" s="49"/>
      <c r="E22" s="5">
        <f t="shared" si="1"/>
        <v>0</v>
      </c>
      <c r="F22" s="5"/>
      <c r="G22" s="46"/>
      <c r="H22" s="6">
        <f t="shared" si="2"/>
        <v>0</v>
      </c>
      <c r="I22" s="7"/>
      <c r="J22" s="16"/>
      <c r="K22" s="17"/>
      <c r="L22" s="17"/>
      <c r="M22" s="17"/>
      <c r="N22" s="17"/>
      <c r="O22" s="17"/>
      <c r="P22" s="17"/>
      <c r="Q22" s="18"/>
      <c r="R22" s="17"/>
      <c r="S22" s="18"/>
      <c r="T22" s="17"/>
      <c r="U22" s="18"/>
      <c r="V22" s="17"/>
      <c r="W22" s="23">
        <f t="shared" si="0"/>
        <v>0</v>
      </c>
    </row>
    <row r="23" spans="1:23">
      <c r="A23" s="4"/>
      <c r="B23" s="25"/>
      <c r="C23" s="49"/>
      <c r="D23" s="49"/>
      <c r="E23" s="5">
        <f t="shared" si="1"/>
        <v>0</v>
      </c>
      <c r="F23" s="5"/>
      <c r="G23" s="46"/>
      <c r="H23" s="6">
        <f t="shared" si="2"/>
        <v>0</v>
      </c>
      <c r="I23" s="7"/>
      <c r="J23" s="16"/>
      <c r="K23" s="17"/>
      <c r="L23" s="17"/>
      <c r="M23" s="17"/>
      <c r="N23" s="17"/>
      <c r="O23" s="17"/>
      <c r="P23" s="17"/>
      <c r="Q23" s="18"/>
      <c r="R23" s="17"/>
      <c r="S23" s="18"/>
      <c r="T23" s="17"/>
      <c r="U23" s="18"/>
      <c r="V23" s="17"/>
      <c r="W23" s="23">
        <f t="shared" si="0"/>
        <v>0</v>
      </c>
    </row>
    <row r="24" spans="1:23">
      <c r="A24" s="4"/>
      <c r="B24" s="25"/>
      <c r="C24" s="49"/>
      <c r="D24" s="49"/>
      <c r="E24" s="5">
        <f t="shared" si="1"/>
        <v>0</v>
      </c>
      <c r="F24" s="5"/>
      <c r="G24" s="46"/>
      <c r="H24" s="6">
        <f t="shared" si="2"/>
        <v>0</v>
      </c>
      <c r="I24" s="7"/>
      <c r="J24" s="16"/>
      <c r="K24" s="17"/>
      <c r="L24" s="17"/>
      <c r="M24" s="17"/>
      <c r="N24" s="17"/>
      <c r="O24" s="17"/>
      <c r="P24" s="17"/>
      <c r="Q24" s="18"/>
      <c r="R24" s="17"/>
      <c r="S24" s="18"/>
      <c r="T24" s="17"/>
      <c r="U24" s="18"/>
      <c r="V24" s="17"/>
      <c r="W24" s="23">
        <f t="shared" si="0"/>
        <v>0</v>
      </c>
    </row>
    <row r="25" spans="1:23">
      <c r="A25" s="4"/>
      <c r="B25" s="25"/>
      <c r="C25" s="49"/>
      <c r="D25" s="49"/>
      <c r="E25" s="5">
        <f t="shared" si="1"/>
        <v>0</v>
      </c>
      <c r="F25" s="5"/>
      <c r="G25" s="46"/>
      <c r="H25" s="6">
        <f t="shared" si="2"/>
        <v>0</v>
      </c>
      <c r="I25" s="7"/>
      <c r="J25" s="16"/>
      <c r="K25" s="17"/>
      <c r="L25" s="17"/>
      <c r="M25" s="17"/>
      <c r="N25" s="17"/>
      <c r="O25" s="17"/>
      <c r="P25" s="17"/>
      <c r="Q25" s="18"/>
      <c r="R25" s="17"/>
      <c r="S25" s="18"/>
      <c r="T25" s="17"/>
      <c r="U25" s="18"/>
      <c r="V25" s="17"/>
      <c r="W25" s="23">
        <f t="shared" si="0"/>
        <v>0</v>
      </c>
    </row>
    <row r="26" spans="1:23">
      <c r="A26" s="4"/>
      <c r="B26" s="25"/>
      <c r="C26" s="49"/>
      <c r="D26" s="49"/>
      <c r="E26" s="5">
        <f t="shared" si="1"/>
        <v>0</v>
      </c>
      <c r="F26" s="5"/>
      <c r="G26" s="48"/>
      <c r="H26" s="6">
        <f t="shared" si="2"/>
        <v>0</v>
      </c>
      <c r="I26" s="7"/>
      <c r="J26" s="16"/>
      <c r="K26" s="17"/>
      <c r="L26" s="17"/>
      <c r="M26" s="17"/>
      <c r="N26" s="17"/>
      <c r="O26" s="17"/>
      <c r="P26" s="17"/>
      <c r="Q26" s="18"/>
      <c r="R26" s="17"/>
      <c r="S26" s="18"/>
      <c r="T26" s="17"/>
      <c r="U26" s="18"/>
      <c r="V26" s="17"/>
      <c r="W26" s="23">
        <f t="shared" si="0"/>
        <v>0</v>
      </c>
    </row>
    <row r="27" spans="1:23">
      <c r="A27" s="4"/>
      <c r="B27" s="25"/>
      <c r="C27" s="49"/>
      <c r="D27" s="49"/>
      <c r="E27" s="5">
        <f t="shared" si="1"/>
        <v>0</v>
      </c>
      <c r="F27" s="5"/>
      <c r="G27" s="46"/>
      <c r="H27" s="6">
        <f t="shared" si="2"/>
        <v>0</v>
      </c>
      <c r="I27" s="7"/>
      <c r="J27" s="16"/>
      <c r="K27" s="17"/>
      <c r="L27" s="17"/>
      <c r="M27" s="17"/>
      <c r="N27" s="17"/>
      <c r="O27" s="17"/>
      <c r="P27" s="17"/>
      <c r="Q27" s="18"/>
      <c r="R27" s="17"/>
      <c r="S27" s="18"/>
      <c r="T27" s="17"/>
      <c r="U27" s="18"/>
      <c r="V27" s="17"/>
      <c r="W27" s="23">
        <f t="shared" si="0"/>
        <v>0</v>
      </c>
    </row>
    <row r="28" spans="1:23">
      <c r="A28" s="4"/>
      <c r="B28" s="25"/>
      <c r="C28" s="49"/>
      <c r="D28" s="49"/>
      <c r="E28" s="5">
        <f t="shared" si="1"/>
        <v>0</v>
      </c>
      <c r="F28" s="5"/>
      <c r="G28" s="46"/>
      <c r="H28" s="6">
        <f t="shared" si="2"/>
        <v>0</v>
      </c>
      <c r="I28" s="7"/>
      <c r="J28" s="16"/>
      <c r="K28" s="17"/>
      <c r="L28" s="17"/>
      <c r="M28" s="17"/>
      <c r="N28" s="17"/>
      <c r="O28" s="17"/>
      <c r="P28" s="17"/>
      <c r="Q28" s="18"/>
      <c r="R28" s="17"/>
      <c r="S28" s="18"/>
      <c r="T28" s="17"/>
      <c r="U28" s="18"/>
      <c r="V28" s="17"/>
      <c r="W28" s="23">
        <f t="shared" si="0"/>
        <v>0</v>
      </c>
    </row>
    <row r="29" spans="1:23">
      <c r="A29" s="4"/>
      <c r="B29" s="25"/>
      <c r="C29" s="49"/>
      <c r="D29" s="49"/>
      <c r="E29" s="5">
        <f t="shared" si="1"/>
        <v>0</v>
      </c>
      <c r="F29" s="5"/>
      <c r="G29" s="46"/>
      <c r="H29" s="6">
        <f t="shared" si="2"/>
        <v>0</v>
      </c>
      <c r="I29" s="7"/>
      <c r="J29" s="16"/>
      <c r="K29" s="17"/>
      <c r="L29" s="17"/>
      <c r="M29" s="17"/>
      <c r="N29" s="17"/>
      <c r="O29" s="17"/>
      <c r="P29" s="17"/>
      <c r="Q29" s="18"/>
      <c r="R29" s="17"/>
      <c r="S29" s="18"/>
      <c r="T29" s="17"/>
      <c r="U29" s="18"/>
      <c r="V29" s="17"/>
      <c r="W29" s="23">
        <f t="shared" si="0"/>
        <v>0</v>
      </c>
    </row>
    <row r="30" spans="1:23">
      <c r="A30" s="4"/>
      <c r="B30" s="25"/>
      <c r="C30" s="49"/>
      <c r="D30" s="49"/>
      <c r="E30" s="5">
        <f t="shared" si="1"/>
        <v>0</v>
      </c>
      <c r="F30" s="5"/>
      <c r="G30" s="46"/>
      <c r="H30" s="6">
        <f t="shared" si="2"/>
        <v>0</v>
      </c>
      <c r="I30" s="7"/>
      <c r="J30" s="16"/>
      <c r="K30" s="17"/>
      <c r="L30" s="17"/>
      <c r="M30" s="17"/>
      <c r="N30" s="17"/>
      <c r="O30" s="17"/>
      <c r="P30" s="17"/>
      <c r="Q30" s="18"/>
      <c r="R30" s="17"/>
      <c r="S30" s="18"/>
      <c r="T30" s="17"/>
      <c r="U30" s="18"/>
      <c r="V30" s="17"/>
      <c r="W30" s="23">
        <f t="shared" si="0"/>
        <v>0</v>
      </c>
    </row>
    <row r="31" spans="1:23">
      <c r="A31" s="4"/>
      <c r="B31" s="25"/>
      <c r="C31" s="49"/>
      <c r="D31" s="49"/>
      <c r="E31" s="5">
        <f t="shared" si="1"/>
        <v>0</v>
      </c>
      <c r="F31" s="5"/>
      <c r="G31" s="46"/>
      <c r="H31" s="6">
        <f>G31+H30</f>
        <v>0</v>
      </c>
      <c r="I31" s="7"/>
      <c r="J31" s="16"/>
      <c r="K31" s="17"/>
      <c r="L31" s="17"/>
      <c r="M31" s="17"/>
      <c r="N31" s="17"/>
      <c r="O31" s="17"/>
      <c r="P31" s="17"/>
      <c r="Q31" s="18"/>
      <c r="R31" s="17"/>
      <c r="S31" s="18"/>
      <c r="T31" s="17"/>
      <c r="U31" s="18"/>
      <c r="V31" s="17"/>
      <c r="W31" s="23">
        <f t="shared" si="0"/>
        <v>0</v>
      </c>
    </row>
    <row r="32" spans="1:23">
      <c r="A32" s="4"/>
      <c r="B32" s="25"/>
      <c r="C32" s="49"/>
      <c r="D32" s="49"/>
      <c r="E32" s="5">
        <f t="shared" si="1"/>
        <v>0</v>
      </c>
      <c r="F32" s="5"/>
      <c r="G32" s="46"/>
      <c r="H32" s="6">
        <f t="shared" si="2"/>
        <v>0</v>
      </c>
      <c r="I32" s="7"/>
      <c r="J32" s="16"/>
      <c r="K32" s="17"/>
      <c r="L32" s="17"/>
      <c r="M32" s="17"/>
      <c r="N32" s="17"/>
      <c r="O32" s="17"/>
      <c r="P32" s="17"/>
      <c r="Q32" s="18"/>
      <c r="R32" s="17"/>
      <c r="S32" s="18"/>
      <c r="T32" s="17"/>
      <c r="U32" s="18"/>
      <c r="V32" s="17"/>
      <c r="W32" s="23">
        <f t="shared" si="0"/>
        <v>0</v>
      </c>
    </row>
    <row r="33" spans="1:23">
      <c r="A33" s="4"/>
      <c r="B33" s="8"/>
      <c r="C33" s="49"/>
      <c r="D33" s="49"/>
      <c r="E33" s="5">
        <f t="shared" si="1"/>
        <v>0</v>
      </c>
      <c r="F33" s="5"/>
      <c r="G33" s="46"/>
      <c r="H33" s="6">
        <f t="shared" si="2"/>
        <v>0</v>
      </c>
      <c r="I33" s="7"/>
      <c r="J33" s="16"/>
      <c r="K33" s="17"/>
      <c r="L33" s="17"/>
      <c r="M33" s="17"/>
      <c r="N33" s="17"/>
      <c r="O33" s="17"/>
      <c r="P33" s="17"/>
      <c r="Q33" s="18"/>
      <c r="R33" s="17"/>
      <c r="S33" s="18"/>
      <c r="T33" s="17"/>
      <c r="U33" s="18"/>
      <c r="V33" s="17"/>
      <c r="W33" s="23">
        <f t="shared" si="0"/>
        <v>0</v>
      </c>
    </row>
    <row r="34" spans="1:23">
      <c r="A34" s="4"/>
      <c r="B34" s="92"/>
      <c r="C34" s="49"/>
      <c r="D34" s="49"/>
      <c r="E34" s="5">
        <f t="shared" si="1"/>
        <v>0</v>
      </c>
      <c r="F34" s="5"/>
      <c r="G34" s="46"/>
      <c r="H34" s="6">
        <f t="shared" si="2"/>
        <v>0</v>
      </c>
      <c r="I34" s="7"/>
      <c r="J34" s="16"/>
      <c r="K34" s="17"/>
      <c r="L34" s="17"/>
      <c r="M34" s="17"/>
      <c r="N34" s="17"/>
      <c r="O34" s="17"/>
      <c r="P34" s="17"/>
      <c r="Q34" s="18"/>
      <c r="R34" s="17"/>
      <c r="S34" s="18"/>
      <c r="T34" s="17"/>
      <c r="U34" s="18"/>
      <c r="V34" s="17"/>
      <c r="W34" s="23">
        <f t="shared" si="0"/>
        <v>0</v>
      </c>
    </row>
    <row r="35" spans="1:23">
      <c r="A35" s="91" t="s">
        <v>150</v>
      </c>
      <c r="B35" s="93">
        <f>SUM(B4:B34)</f>
        <v>0</v>
      </c>
      <c r="C35" s="93">
        <f t="shared" ref="C35:G35" si="3">SUM(C4:C34)</f>
        <v>0</v>
      </c>
      <c r="D35" s="93">
        <f t="shared" si="3"/>
        <v>0</v>
      </c>
      <c r="E35" s="93">
        <f t="shared" si="3"/>
        <v>0</v>
      </c>
      <c r="F35" s="93">
        <f>F34</f>
        <v>0</v>
      </c>
      <c r="G35" s="93">
        <f t="shared" si="3"/>
        <v>0</v>
      </c>
      <c r="H35" s="97">
        <f>H34</f>
        <v>0</v>
      </c>
      <c r="I35" s="12">
        <f>SUM(I4:I34)</f>
        <v>0</v>
      </c>
      <c r="J35" s="12">
        <f>J34</f>
        <v>0</v>
      </c>
      <c r="K35" s="19">
        <f t="shared" ref="K35:W35" si="4">SUM(K4:K34)</f>
        <v>0</v>
      </c>
      <c r="L35" s="19">
        <f t="shared" si="4"/>
        <v>0</v>
      </c>
      <c r="M35" s="19">
        <f t="shared" si="4"/>
        <v>0</v>
      </c>
      <c r="N35" s="19">
        <f t="shared" si="4"/>
        <v>0</v>
      </c>
      <c r="O35" s="19">
        <f t="shared" si="4"/>
        <v>0</v>
      </c>
      <c r="P35" s="19">
        <f t="shared" si="4"/>
        <v>0</v>
      </c>
      <c r="Q35" s="19">
        <f t="shared" si="4"/>
        <v>0</v>
      </c>
      <c r="R35" s="19">
        <f t="shared" si="4"/>
        <v>0</v>
      </c>
      <c r="S35" s="19">
        <f t="shared" si="4"/>
        <v>0</v>
      </c>
      <c r="T35" s="19">
        <f t="shared" si="4"/>
        <v>0</v>
      </c>
      <c r="U35" s="19">
        <f t="shared" si="4"/>
        <v>0</v>
      </c>
      <c r="V35" s="19">
        <f t="shared" si="4"/>
        <v>0</v>
      </c>
      <c r="W35" s="19">
        <f t="shared" si="4"/>
        <v>0</v>
      </c>
    </row>
  </sheetData>
  <mergeCells count="2">
    <mergeCell ref="A1:I1"/>
    <mergeCell ref="J1:W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C24" sqref="C24"/>
    </sheetView>
  </sheetViews>
  <sheetFormatPr defaultColWidth="9.140625" defaultRowHeight="12.75"/>
  <cols>
    <col min="1" max="1" width="22.42578125" customWidth="1"/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2.85546875" customWidth="1"/>
    <col min="10" max="10" width="14" customWidth="1"/>
    <col min="11" max="11" width="13" customWidth="1"/>
  </cols>
  <sheetData>
    <row r="1" spans="1:23" ht="30.95" customHeight="1">
      <c r="A1" s="203"/>
      <c r="B1" s="203"/>
      <c r="C1" s="203"/>
      <c r="D1" s="203"/>
      <c r="E1" s="203"/>
      <c r="F1" s="203"/>
      <c r="G1" s="203"/>
      <c r="H1" s="203"/>
      <c r="I1" s="203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23" ht="51">
      <c r="A3" s="94" t="s">
        <v>130</v>
      </c>
      <c r="B3" s="94" t="s">
        <v>131</v>
      </c>
      <c r="C3" s="94" t="s">
        <v>151</v>
      </c>
      <c r="D3" s="94" t="s">
        <v>132</v>
      </c>
      <c r="E3" s="94" t="s">
        <v>133</v>
      </c>
      <c r="F3" s="94" t="s">
        <v>134</v>
      </c>
      <c r="G3" s="94" t="s">
        <v>135</v>
      </c>
      <c r="H3" s="94" t="s">
        <v>136</v>
      </c>
      <c r="I3" s="94" t="s">
        <v>137</v>
      </c>
      <c r="J3" s="95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3">
      <c r="A4" s="4"/>
      <c r="B4" s="25"/>
      <c r="C4" s="49"/>
      <c r="D4" s="49"/>
      <c r="E4" s="5">
        <f>+B4-D4-C4</f>
        <v>0</v>
      </c>
      <c r="F4" s="5"/>
      <c r="G4" s="46"/>
      <c r="H4" s="6">
        <f>G4</f>
        <v>0</v>
      </c>
      <c r="I4" s="7"/>
      <c r="J4" s="16"/>
      <c r="K4" s="17"/>
      <c r="L4" s="17"/>
      <c r="M4" s="17"/>
      <c r="N4" s="17"/>
      <c r="O4" s="17"/>
      <c r="P4" s="17"/>
      <c r="Q4" s="18"/>
      <c r="R4" s="17"/>
      <c r="S4" s="18"/>
      <c r="T4" s="17"/>
      <c r="U4" s="18"/>
      <c r="V4" s="17"/>
      <c r="W4" s="23">
        <f t="shared" ref="W4:W34" si="0">SUM(K4:V4)</f>
        <v>0</v>
      </c>
    </row>
    <row r="5" spans="1:23">
      <c r="A5" s="4"/>
      <c r="B5" s="25"/>
      <c r="C5" s="49"/>
      <c r="D5" s="49"/>
      <c r="E5" s="5">
        <f t="shared" ref="E5:E34" si="1">+B5-D5-C5</f>
        <v>0</v>
      </c>
      <c r="F5" s="5"/>
      <c r="G5" s="46"/>
      <c r="H5" s="6">
        <f>G5+H4</f>
        <v>0</v>
      </c>
      <c r="I5" s="7"/>
      <c r="J5" s="16"/>
      <c r="K5" s="17"/>
      <c r="L5" s="17"/>
      <c r="M5" s="17"/>
      <c r="N5" s="17"/>
      <c r="O5" s="17"/>
      <c r="P5" s="17"/>
      <c r="Q5" s="18"/>
      <c r="R5" s="17"/>
      <c r="S5" s="18"/>
      <c r="T5" s="17"/>
      <c r="U5" s="18"/>
      <c r="V5" s="17"/>
      <c r="W5" s="23">
        <f t="shared" si="0"/>
        <v>0</v>
      </c>
    </row>
    <row r="6" spans="1:23">
      <c r="A6" s="4"/>
      <c r="B6" s="25"/>
      <c r="C6" s="49"/>
      <c r="D6" s="49"/>
      <c r="E6" s="5">
        <f t="shared" si="1"/>
        <v>0</v>
      </c>
      <c r="F6" s="5"/>
      <c r="G6" s="46"/>
      <c r="H6" s="6">
        <f>G6+H5</f>
        <v>0</v>
      </c>
      <c r="I6" s="7"/>
      <c r="J6" s="16"/>
      <c r="K6" s="17"/>
      <c r="L6" s="17"/>
      <c r="M6" s="17"/>
      <c r="N6" s="17"/>
      <c r="O6" s="17"/>
      <c r="P6" s="17"/>
      <c r="Q6" s="18"/>
      <c r="R6" s="17"/>
      <c r="S6" s="18"/>
      <c r="T6" s="17"/>
      <c r="U6" s="18"/>
      <c r="V6" s="17"/>
      <c r="W6" s="23">
        <f t="shared" si="0"/>
        <v>0</v>
      </c>
    </row>
    <row r="7" spans="1:23">
      <c r="A7" s="4"/>
      <c r="B7" s="25"/>
      <c r="C7" s="49"/>
      <c r="D7" s="49"/>
      <c r="E7" s="5">
        <f t="shared" si="1"/>
        <v>0</v>
      </c>
      <c r="F7" s="5"/>
      <c r="G7" s="46"/>
      <c r="H7" s="6">
        <f t="shared" ref="H7:H34" si="2">G7+H6</f>
        <v>0</v>
      </c>
      <c r="I7" s="7"/>
      <c r="J7" s="16"/>
      <c r="K7" s="17"/>
      <c r="L7" s="17"/>
      <c r="M7" s="17"/>
      <c r="N7" s="17"/>
      <c r="O7" s="17"/>
      <c r="P7" s="17"/>
      <c r="Q7" s="18"/>
      <c r="R7" s="17"/>
      <c r="S7" s="18"/>
      <c r="T7" s="17"/>
      <c r="U7" s="18"/>
      <c r="V7" s="17"/>
      <c r="W7" s="23">
        <f t="shared" si="0"/>
        <v>0</v>
      </c>
    </row>
    <row r="8" spans="1:23">
      <c r="A8" s="4"/>
      <c r="B8" s="25"/>
      <c r="C8" s="49"/>
      <c r="D8" s="49"/>
      <c r="E8" s="5">
        <f t="shared" si="1"/>
        <v>0</v>
      </c>
      <c r="F8" s="5"/>
      <c r="G8" s="46"/>
      <c r="H8" s="6">
        <f t="shared" si="2"/>
        <v>0</v>
      </c>
      <c r="I8" s="7"/>
      <c r="J8" s="16"/>
      <c r="K8" s="17"/>
      <c r="L8" s="17"/>
      <c r="M8" s="17"/>
      <c r="N8" s="17"/>
      <c r="O8" s="17"/>
      <c r="P8" s="17"/>
      <c r="Q8" s="18"/>
      <c r="R8" s="17"/>
      <c r="S8" s="18"/>
      <c r="T8" s="17"/>
      <c r="U8" s="18"/>
      <c r="V8" s="17"/>
      <c r="W8" s="23">
        <f t="shared" si="0"/>
        <v>0</v>
      </c>
    </row>
    <row r="9" spans="1:23">
      <c r="A9" s="4"/>
      <c r="B9" s="25"/>
      <c r="C9" s="49"/>
      <c r="D9" s="49"/>
      <c r="E9" s="5">
        <f t="shared" si="1"/>
        <v>0</v>
      </c>
      <c r="F9" s="5"/>
      <c r="G9" s="46"/>
      <c r="H9" s="6">
        <f t="shared" si="2"/>
        <v>0</v>
      </c>
      <c r="I9" s="7"/>
      <c r="J9" s="16"/>
      <c r="K9" s="17"/>
      <c r="L9" s="17"/>
      <c r="M9" s="17"/>
      <c r="N9" s="17"/>
      <c r="O9" s="17"/>
      <c r="P9" s="17"/>
      <c r="Q9" s="18"/>
      <c r="R9" s="17"/>
      <c r="S9" s="18"/>
      <c r="T9" s="17"/>
      <c r="U9" s="18"/>
      <c r="V9" s="17"/>
      <c r="W9" s="23">
        <f t="shared" si="0"/>
        <v>0</v>
      </c>
    </row>
    <row r="10" spans="1:23">
      <c r="A10" s="4"/>
      <c r="B10" s="25"/>
      <c r="C10" s="49"/>
      <c r="D10" s="49"/>
      <c r="E10" s="5">
        <f t="shared" si="1"/>
        <v>0</v>
      </c>
      <c r="F10" s="5"/>
      <c r="G10" s="46"/>
      <c r="H10" s="6">
        <f t="shared" si="2"/>
        <v>0</v>
      </c>
      <c r="I10" s="7"/>
      <c r="J10" s="16"/>
      <c r="K10" s="17"/>
      <c r="L10" s="17"/>
      <c r="M10" s="17"/>
      <c r="N10" s="17"/>
      <c r="O10" s="17"/>
      <c r="P10" s="17"/>
      <c r="Q10" s="18"/>
      <c r="R10" s="17"/>
      <c r="S10" s="18"/>
      <c r="T10" s="17"/>
      <c r="U10" s="18"/>
      <c r="V10" s="17"/>
      <c r="W10" s="23">
        <f t="shared" si="0"/>
        <v>0</v>
      </c>
    </row>
    <row r="11" spans="1:23">
      <c r="A11" s="4"/>
      <c r="B11" s="26"/>
      <c r="C11" s="49"/>
      <c r="D11" s="49"/>
      <c r="E11" s="5">
        <f t="shared" si="1"/>
        <v>0</v>
      </c>
      <c r="F11" s="5"/>
      <c r="G11" s="46"/>
      <c r="H11" s="6">
        <f t="shared" si="2"/>
        <v>0</v>
      </c>
      <c r="I11" s="7"/>
      <c r="J11" s="16"/>
      <c r="K11" s="17"/>
      <c r="L11" s="17"/>
      <c r="M11" s="17"/>
      <c r="N11" s="17"/>
      <c r="O11" s="17"/>
      <c r="P11" s="17"/>
      <c r="Q11" s="18"/>
      <c r="R11" s="17"/>
      <c r="S11" s="18"/>
      <c r="T11" s="17"/>
      <c r="U11" s="18"/>
      <c r="V11" s="17"/>
      <c r="W11" s="23">
        <f t="shared" si="0"/>
        <v>0</v>
      </c>
    </row>
    <row r="12" spans="1:23">
      <c r="A12" s="4"/>
      <c r="B12" s="25"/>
      <c r="C12" s="49"/>
      <c r="D12" s="49"/>
      <c r="E12" s="5">
        <f t="shared" si="1"/>
        <v>0</v>
      </c>
      <c r="F12" s="5"/>
      <c r="G12" s="46"/>
      <c r="H12" s="6">
        <f t="shared" si="2"/>
        <v>0</v>
      </c>
      <c r="I12" s="7"/>
      <c r="J12" s="16"/>
      <c r="K12" s="17"/>
      <c r="L12" s="17"/>
      <c r="M12" s="17"/>
      <c r="N12" s="17"/>
      <c r="O12" s="17"/>
      <c r="P12" s="17"/>
      <c r="Q12" s="18"/>
      <c r="R12" s="17"/>
      <c r="S12" s="18"/>
      <c r="T12" s="17"/>
      <c r="U12" s="18"/>
      <c r="V12" s="17"/>
      <c r="W12" s="23">
        <f t="shared" si="0"/>
        <v>0</v>
      </c>
    </row>
    <row r="13" spans="1:23">
      <c r="A13" s="4"/>
      <c r="B13" s="9"/>
      <c r="C13" s="49"/>
      <c r="D13" s="49"/>
      <c r="E13" s="5">
        <f t="shared" si="1"/>
        <v>0</v>
      </c>
      <c r="F13" s="5"/>
      <c r="G13" s="46"/>
      <c r="H13" s="6">
        <f t="shared" si="2"/>
        <v>0</v>
      </c>
      <c r="I13" s="7"/>
      <c r="J13" s="16"/>
      <c r="K13" s="17"/>
      <c r="L13" s="17"/>
      <c r="M13" s="17"/>
      <c r="N13" s="17"/>
      <c r="O13" s="17"/>
      <c r="P13" s="17"/>
      <c r="Q13" s="18"/>
      <c r="R13" s="17"/>
      <c r="S13" s="18"/>
      <c r="T13" s="17"/>
      <c r="U13" s="18"/>
      <c r="V13" s="17"/>
      <c r="W13" s="23">
        <f t="shared" si="0"/>
        <v>0</v>
      </c>
    </row>
    <row r="14" spans="1:23">
      <c r="A14" s="4"/>
      <c r="B14" s="9"/>
      <c r="C14" s="49"/>
      <c r="D14" s="49"/>
      <c r="E14" s="5">
        <f t="shared" si="1"/>
        <v>0</v>
      </c>
      <c r="F14" s="5"/>
      <c r="G14" s="46"/>
      <c r="H14" s="6">
        <f t="shared" si="2"/>
        <v>0</v>
      </c>
      <c r="I14" s="7"/>
      <c r="J14" s="16"/>
      <c r="K14" s="17"/>
      <c r="L14" s="17"/>
      <c r="M14" s="17"/>
      <c r="N14" s="17"/>
      <c r="O14" s="17"/>
      <c r="P14" s="17"/>
      <c r="Q14" s="18"/>
      <c r="R14" s="17"/>
      <c r="S14" s="18"/>
      <c r="T14" s="17"/>
      <c r="U14" s="18"/>
      <c r="V14" s="17"/>
      <c r="W14" s="23">
        <f t="shared" si="0"/>
        <v>0</v>
      </c>
    </row>
    <row r="15" spans="1:23">
      <c r="A15" s="4"/>
      <c r="B15" s="10"/>
      <c r="C15" s="49"/>
      <c r="D15" s="49"/>
      <c r="E15" s="5">
        <f t="shared" si="1"/>
        <v>0</v>
      </c>
      <c r="F15" s="5"/>
      <c r="G15" s="46"/>
      <c r="H15" s="6">
        <f t="shared" si="2"/>
        <v>0</v>
      </c>
      <c r="I15" s="7"/>
      <c r="J15" s="16"/>
      <c r="K15" s="17"/>
      <c r="L15" s="17"/>
      <c r="M15" s="17"/>
      <c r="N15" s="17"/>
      <c r="O15" s="17"/>
      <c r="P15" s="17"/>
      <c r="Q15" s="18"/>
      <c r="R15" s="17"/>
      <c r="S15" s="18"/>
      <c r="T15" s="17"/>
      <c r="U15" s="18"/>
      <c r="V15" s="17"/>
      <c r="W15" s="23">
        <f t="shared" si="0"/>
        <v>0</v>
      </c>
    </row>
    <row r="16" spans="1:23">
      <c r="A16" s="4"/>
      <c r="B16" s="25"/>
      <c r="C16" s="49"/>
      <c r="D16" s="49"/>
      <c r="E16" s="5">
        <f t="shared" si="1"/>
        <v>0</v>
      </c>
      <c r="F16" s="5"/>
      <c r="G16" s="46"/>
      <c r="H16" s="6">
        <f t="shared" si="2"/>
        <v>0</v>
      </c>
      <c r="I16" s="7"/>
      <c r="J16" s="16"/>
      <c r="K16" s="17"/>
      <c r="L16" s="17"/>
      <c r="M16" s="17"/>
      <c r="N16" s="17"/>
      <c r="O16" s="17"/>
      <c r="P16" s="17"/>
      <c r="Q16" s="18"/>
      <c r="R16" s="17"/>
      <c r="S16" s="18"/>
      <c r="T16" s="17"/>
      <c r="U16" s="18"/>
      <c r="V16" s="17"/>
      <c r="W16" s="23">
        <f t="shared" si="0"/>
        <v>0</v>
      </c>
    </row>
    <row r="17" spans="1:23">
      <c r="A17" s="4"/>
      <c r="B17" s="25"/>
      <c r="C17" s="49"/>
      <c r="D17" s="49"/>
      <c r="E17" s="5">
        <f t="shared" si="1"/>
        <v>0</v>
      </c>
      <c r="F17" s="5"/>
      <c r="G17" s="46"/>
      <c r="H17" s="6">
        <f t="shared" si="2"/>
        <v>0</v>
      </c>
      <c r="I17" s="7"/>
      <c r="J17" s="16"/>
      <c r="K17" s="17"/>
      <c r="L17" s="17"/>
      <c r="M17" s="17"/>
      <c r="N17" s="17"/>
      <c r="O17" s="17"/>
      <c r="P17" s="17"/>
      <c r="Q17" s="18"/>
      <c r="R17" s="17"/>
      <c r="S17" s="18"/>
      <c r="T17" s="17"/>
      <c r="U17" s="18"/>
      <c r="V17" s="17"/>
      <c r="W17" s="23">
        <f t="shared" si="0"/>
        <v>0</v>
      </c>
    </row>
    <row r="18" spans="1:23">
      <c r="A18" s="4"/>
      <c r="B18" s="25"/>
      <c r="C18" s="49"/>
      <c r="D18" s="49"/>
      <c r="E18" s="5">
        <f t="shared" si="1"/>
        <v>0</v>
      </c>
      <c r="F18" s="5"/>
      <c r="G18" s="46"/>
      <c r="H18" s="6">
        <f t="shared" si="2"/>
        <v>0</v>
      </c>
      <c r="I18" s="7"/>
      <c r="J18" s="16"/>
      <c r="K18" s="17"/>
      <c r="L18" s="17"/>
      <c r="M18" s="17"/>
      <c r="N18" s="17"/>
      <c r="O18" s="17"/>
      <c r="P18" s="17"/>
      <c r="Q18" s="18"/>
      <c r="R18" s="17"/>
      <c r="S18" s="18"/>
      <c r="T18" s="17"/>
      <c r="U18" s="18"/>
      <c r="V18" s="17"/>
      <c r="W18" s="23">
        <f t="shared" si="0"/>
        <v>0</v>
      </c>
    </row>
    <row r="19" spans="1:23">
      <c r="A19" s="4"/>
      <c r="B19" s="25"/>
      <c r="C19" s="49"/>
      <c r="D19" s="49"/>
      <c r="E19" s="5">
        <f t="shared" si="1"/>
        <v>0</v>
      </c>
      <c r="F19" s="5"/>
      <c r="G19" s="46"/>
      <c r="H19" s="6">
        <f t="shared" si="2"/>
        <v>0</v>
      </c>
      <c r="I19" s="7"/>
      <c r="J19" s="16"/>
      <c r="K19" s="17"/>
      <c r="L19" s="17"/>
      <c r="M19" s="17"/>
      <c r="N19" s="17"/>
      <c r="O19" s="17"/>
      <c r="P19" s="17"/>
      <c r="Q19" s="18"/>
      <c r="R19" s="17"/>
      <c r="S19" s="18"/>
      <c r="T19" s="17"/>
      <c r="U19" s="18"/>
      <c r="V19" s="17"/>
      <c r="W19" s="23">
        <f t="shared" si="0"/>
        <v>0</v>
      </c>
    </row>
    <row r="20" spans="1:23">
      <c r="A20" s="4"/>
      <c r="B20" s="25"/>
      <c r="C20" s="49"/>
      <c r="D20" s="49"/>
      <c r="E20" s="5">
        <f t="shared" si="1"/>
        <v>0</v>
      </c>
      <c r="F20" s="5"/>
      <c r="G20" s="46"/>
      <c r="H20" s="6">
        <f t="shared" si="2"/>
        <v>0</v>
      </c>
      <c r="I20" s="7"/>
      <c r="J20" s="16"/>
      <c r="K20" s="17"/>
      <c r="L20" s="17"/>
      <c r="M20" s="17"/>
      <c r="N20" s="17"/>
      <c r="O20" s="17"/>
      <c r="P20" s="17"/>
      <c r="Q20" s="18"/>
      <c r="R20" s="17"/>
      <c r="S20" s="18"/>
      <c r="T20" s="17"/>
      <c r="U20" s="18"/>
      <c r="V20" s="17"/>
      <c r="W20" s="23">
        <f t="shared" si="0"/>
        <v>0</v>
      </c>
    </row>
    <row r="21" spans="1:23">
      <c r="A21" s="4"/>
      <c r="B21" s="50"/>
      <c r="C21" s="49"/>
      <c r="D21" s="49"/>
      <c r="E21" s="5">
        <f t="shared" si="1"/>
        <v>0</v>
      </c>
      <c r="F21" s="5"/>
      <c r="G21" s="47"/>
      <c r="H21" s="6">
        <f t="shared" si="2"/>
        <v>0</v>
      </c>
      <c r="I21" s="7"/>
      <c r="J21" s="16"/>
      <c r="K21" s="17"/>
      <c r="L21" s="17"/>
      <c r="M21" s="17"/>
      <c r="N21" s="17"/>
      <c r="O21" s="17"/>
      <c r="P21" s="17"/>
      <c r="Q21" s="18"/>
      <c r="R21" s="17"/>
      <c r="S21" s="18"/>
      <c r="T21" s="17"/>
      <c r="U21" s="18"/>
      <c r="V21" s="17"/>
      <c r="W21" s="23">
        <f t="shared" si="0"/>
        <v>0</v>
      </c>
    </row>
    <row r="22" spans="1:23">
      <c r="A22" s="4"/>
      <c r="B22" s="25"/>
      <c r="C22" s="49"/>
      <c r="D22" s="49"/>
      <c r="E22" s="5">
        <f t="shared" si="1"/>
        <v>0</v>
      </c>
      <c r="F22" s="5"/>
      <c r="G22" s="46"/>
      <c r="H22" s="6">
        <f t="shared" si="2"/>
        <v>0</v>
      </c>
      <c r="I22" s="7"/>
      <c r="J22" s="16"/>
      <c r="K22" s="17"/>
      <c r="L22" s="17"/>
      <c r="M22" s="17"/>
      <c r="N22" s="17"/>
      <c r="O22" s="17"/>
      <c r="P22" s="17"/>
      <c r="Q22" s="18"/>
      <c r="R22" s="17"/>
      <c r="S22" s="18"/>
      <c r="T22" s="17"/>
      <c r="U22" s="18"/>
      <c r="V22" s="17"/>
      <c r="W22" s="23">
        <f t="shared" si="0"/>
        <v>0</v>
      </c>
    </row>
    <row r="23" spans="1:23">
      <c r="A23" s="4"/>
      <c r="B23" s="25"/>
      <c r="C23" s="49"/>
      <c r="D23" s="49"/>
      <c r="E23" s="5">
        <f t="shared" si="1"/>
        <v>0</v>
      </c>
      <c r="F23" s="5"/>
      <c r="G23" s="46"/>
      <c r="H23" s="6">
        <f t="shared" si="2"/>
        <v>0</v>
      </c>
      <c r="I23" s="7"/>
      <c r="J23" s="16"/>
      <c r="K23" s="17"/>
      <c r="L23" s="17"/>
      <c r="M23" s="17"/>
      <c r="N23" s="17"/>
      <c r="O23" s="17"/>
      <c r="P23" s="17"/>
      <c r="Q23" s="18"/>
      <c r="R23" s="17"/>
      <c r="S23" s="18"/>
      <c r="T23" s="17"/>
      <c r="U23" s="18"/>
      <c r="V23" s="17"/>
      <c r="W23" s="23">
        <f t="shared" si="0"/>
        <v>0</v>
      </c>
    </row>
    <row r="24" spans="1:23">
      <c r="A24" s="4"/>
      <c r="B24" s="25"/>
      <c r="C24" s="49"/>
      <c r="D24" s="49"/>
      <c r="E24" s="5">
        <f t="shared" si="1"/>
        <v>0</v>
      </c>
      <c r="F24" s="5"/>
      <c r="G24" s="46"/>
      <c r="H24" s="6">
        <f t="shared" si="2"/>
        <v>0</v>
      </c>
      <c r="I24" s="7"/>
      <c r="J24" s="16"/>
      <c r="K24" s="17"/>
      <c r="L24" s="17"/>
      <c r="M24" s="17"/>
      <c r="N24" s="17"/>
      <c r="O24" s="17"/>
      <c r="P24" s="17"/>
      <c r="Q24" s="18"/>
      <c r="R24" s="17"/>
      <c r="S24" s="18"/>
      <c r="T24" s="17"/>
      <c r="U24" s="18"/>
      <c r="V24" s="17"/>
      <c r="W24" s="23">
        <f t="shared" si="0"/>
        <v>0</v>
      </c>
    </row>
    <row r="25" spans="1:23">
      <c r="A25" s="4"/>
      <c r="B25" s="25"/>
      <c r="C25" s="49"/>
      <c r="D25" s="49"/>
      <c r="E25" s="5">
        <f t="shared" si="1"/>
        <v>0</v>
      </c>
      <c r="F25" s="5"/>
      <c r="G25" s="46"/>
      <c r="H25" s="6">
        <f t="shared" si="2"/>
        <v>0</v>
      </c>
      <c r="I25" s="7"/>
      <c r="J25" s="16"/>
      <c r="K25" s="17"/>
      <c r="L25" s="17"/>
      <c r="M25" s="17"/>
      <c r="N25" s="17"/>
      <c r="O25" s="17"/>
      <c r="P25" s="17"/>
      <c r="Q25" s="18"/>
      <c r="R25" s="17"/>
      <c r="S25" s="18"/>
      <c r="T25" s="17"/>
      <c r="U25" s="18"/>
      <c r="V25" s="17"/>
      <c r="W25" s="23">
        <f t="shared" si="0"/>
        <v>0</v>
      </c>
    </row>
    <row r="26" spans="1:23">
      <c r="A26" s="4"/>
      <c r="B26" s="25"/>
      <c r="C26" s="49"/>
      <c r="D26" s="49"/>
      <c r="E26" s="5">
        <f t="shared" si="1"/>
        <v>0</v>
      </c>
      <c r="F26" s="5"/>
      <c r="G26" s="48"/>
      <c r="H26" s="6">
        <f t="shared" si="2"/>
        <v>0</v>
      </c>
      <c r="I26" s="7"/>
      <c r="J26" s="16"/>
      <c r="K26" s="17"/>
      <c r="L26" s="17"/>
      <c r="M26" s="17"/>
      <c r="N26" s="17"/>
      <c r="O26" s="17"/>
      <c r="P26" s="17"/>
      <c r="Q26" s="18"/>
      <c r="R26" s="17"/>
      <c r="S26" s="18"/>
      <c r="T26" s="17"/>
      <c r="U26" s="18"/>
      <c r="V26" s="17"/>
      <c r="W26" s="23">
        <f t="shared" si="0"/>
        <v>0</v>
      </c>
    </row>
    <row r="27" spans="1:23">
      <c r="A27" s="4"/>
      <c r="B27" s="25"/>
      <c r="C27" s="49"/>
      <c r="D27" s="49"/>
      <c r="E27" s="5">
        <f t="shared" si="1"/>
        <v>0</v>
      </c>
      <c r="F27" s="5"/>
      <c r="G27" s="46"/>
      <c r="H27" s="6">
        <f t="shared" si="2"/>
        <v>0</v>
      </c>
      <c r="I27" s="7"/>
      <c r="J27" s="16"/>
      <c r="K27" s="17"/>
      <c r="L27" s="17"/>
      <c r="M27" s="17"/>
      <c r="N27" s="17"/>
      <c r="O27" s="17"/>
      <c r="P27" s="17"/>
      <c r="Q27" s="18"/>
      <c r="R27" s="17"/>
      <c r="S27" s="18"/>
      <c r="T27" s="17"/>
      <c r="U27" s="18"/>
      <c r="V27" s="17"/>
      <c r="W27" s="23">
        <f t="shared" si="0"/>
        <v>0</v>
      </c>
    </row>
    <row r="28" spans="1:23">
      <c r="A28" s="4"/>
      <c r="B28" s="25"/>
      <c r="C28" s="49"/>
      <c r="D28" s="49"/>
      <c r="E28" s="5">
        <f t="shared" si="1"/>
        <v>0</v>
      </c>
      <c r="F28" s="5"/>
      <c r="G28" s="46"/>
      <c r="H28" s="6">
        <f t="shared" si="2"/>
        <v>0</v>
      </c>
      <c r="I28" s="7"/>
      <c r="J28" s="16"/>
      <c r="K28" s="17"/>
      <c r="L28" s="17"/>
      <c r="M28" s="17"/>
      <c r="N28" s="17"/>
      <c r="O28" s="17"/>
      <c r="P28" s="17"/>
      <c r="Q28" s="18"/>
      <c r="R28" s="17"/>
      <c r="S28" s="18"/>
      <c r="T28" s="17"/>
      <c r="U28" s="18"/>
      <c r="V28" s="17"/>
      <c r="W28" s="23">
        <f t="shared" si="0"/>
        <v>0</v>
      </c>
    </row>
    <row r="29" spans="1:23">
      <c r="A29" s="4"/>
      <c r="B29" s="25"/>
      <c r="C29" s="49"/>
      <c r="D29" s="49"/>
      <c r="E29" s="5">
        <f t="shared" si="1"/>
        <v>0</v>
      </c>
      <c r="F29" s="5"/>
      <c r="G29" s="46"/>
      <c r="H29" s="6">
        <f t="shared" si="2"/>
        <v>0</v>
      </c>
      <c r="I29" s="7"/>
      <c r="J29" s="16"/>
      <c r="K29" s="17"/>
      <c r="L29" s="17"/>
      <c r="M29" s="17"/>
      <c r="N29" s="17"/>
      <c r="O29" s="17"/>
      <c r="P29" s="17"/>
      <c r="Q29" s="18"/>
      <c r="R29" s="17"/>
      <c r="S29" s="18"/>
      <c r="T29" s="17"/>
      <c r="U29" s="18"/>
      <c r="V29" s="17"/>
      <c r="W29" s="23">
        <f t="shared" si="0"/>
        <v>0</v>
      </c>
    </row>
    <row r="30" spans="1:23">
      <c r="A30" s="4"/>
      <c r="B30" s="25"/>
      <c r="C30" s="49"/>
      <c r="D30" s="49"/>
      <c r="E30" s="5">
        <f t="shared" si="1"/>
        <v>0</v>
      </c>
      <c r="F30" s="5"/>
      <c r="G30" s="46"/>
      <c r="H30" s="6">
        <f t="shared" si="2"/>
        <v>0</v>
      </c>
      <c r="I30" s="7"/>
      <c r="J30" s="16"/>
      <c r="K30" s="17"/>
      <c r="L30" s="17"/>
      <c r="M30" s="17"/>
      <c r="N30" s="17"/>
      <c r="O30" s="17"/>
      <c r="P30" s="17"/>
      <c r="Q30" s="18"/>
      <c r="R30" s="17"/>
      <c r="S30" s="18"/>
      <c r="T30" s="17"/>
      <c r="U30" s="18"/>
      <c r="V30" s="17"/>
      <c r="W30" s="23">
        <f t="shared" si="0"/>
        <v>0</v>
      </c>
    </row>
    <row r="31" spans="1:23">
      <c r="A31" s="4"/>
      <c r="B31" s="25"/>
      <c r="C31" s="49"/>
      <c r="D31" s="49"/>
      <c r="E31" s="5">
        <f t="shared" si="1"/>
        <v>0</v>
      </c>
      <c r="F31" s="5"/>
      <c r="G31" s="46"/>
      <c r="H31" s="6">
        <f>G31+H30</f>
        <v>0</v>
      </c>
      <c r="I31" s="7"/>
      <c r="J31" s="16"/>
      <c r="K31" s="17"/>
      <c r="L31" s="17"/>
      <c r="M31" s="17"/>
      <c r="N31" s="17"/>
      <c r="O31" s="17"/>
      <c r="P31" s="17"/>
      <c r="Q31" s="18"/>
      <c r="R31" s="17"/>
      <c r="S31" s="18"/>
      <c r="T31" s="17"/>
      <c r="U31" s="18"/>
      <c r="V31" s="17"/>
      <c r="W31" s="23">
        <f t="shared" si="0"/>
        <v>0</v>
      </c>
    </row>
    <row r="32" spans="1:23">
      <c r="A32" s="4"/>
      <c r="B32" s="25"/>
      <c r="C32" s="49"/>
      <c r="D32" s="49"/>
      <c r="E32" s="5">
        <f t="shared" si="1"/>
        <v>0</v>
      </c>
      <c r="F32" s="5"/>
      <c r="G32" s="46"/>
      <c r="H32" s="6">
        <f t="shared" si="2"/>
        <v>0</v>
      </c>
      <c r="I32" s="7"/>
      <c r="J32" s="16"/>
      <c r="K32" s="17"/>
      <c r="L32" s="17"/>
      <c r="M32" s="17"/>
      <c r="N32" s="17"/>
      <c r="O32" s="17"/>
      <c r="P32" s="17"/>
      <c r="Q32" s="18"/>
      <c r="R32" s="17"/>
      <c r="S32" s="18"/>
      <c r="T32" s="17"/>
      <c r="U32" s="18"/>
      <c r="V32" s="17"/>
      <c r="W32" s="23">
        <f t="shared" si="0"/>
        <v>0</v>
      </c>
    </row>
    <row r="33" spans="1:23">
      <c r="A33" s="4"/>
      <c r="B33" s="8"/>
      <c r="C33" s="49"/>
      <c r="D33" s="49"/>
      <c r="E33" s="5">
        <f t="shared" si="1"/>
        <v>0</v>
      </c>
      <c r="F33" s="5"/>
      <c r="G33" s="46"/>
      <c r="H33" s="6">
        <f t="shared" si="2"/>
        <v>0</v>
      </c>
      <c r="I33" s="7"/>
      <c r="J33" s="16"/>
      <c r="K33" s="17"/>
      <c r="L33" s="17"/>
      <c r="M33" s="17"/>
      <c r="N33" s="17"/>
      <c r="O33" s="17"/>
      <c r="P33" s="17"/>
      <c r="Q33" s="18"/>
      <c r="R33" s="17"/>
      <c r="S33" s="18"/>
      <c r="T33" s="17"/>
      <c r="U33" s="18"/>
      <c r="V33" s="17"/>
      <c r="W33" s="23">
        <f t="shared" si="0"/>
        <v>0</v>
      </c>
    </row>
    <row r="34" spans="1:23">
      <c r="A34" s="4"/>
      <c r="B34" s="92"/>
      <c r="C34" s="49"/>
      <c r="D34" s="49"/>
      <c r="E34" s="5">
        <f t="shared" si="1"/>
        <v>0</v>
      </c>
      <c r="F34" s="5"/>
      <c r="G34" s="46"/>
      <c r="H34" s="6">
        <f t="shared" si="2"/>
        <v>0</v>
      </c>
      <c r="I34" s="7"/>
      <c r="J34" s="16"/>
      <c r="K34" s="17"/>
      <c r="L34" s="17"/>
      <c r="M34" s="17"/>
      <c r="N34" s="17"/>
      <c r="O34" s="17"/>
      <c r="P34" s="17"/>
      <c r="Q34" s="18"/>
      <c r="R34" s="17"/>
      <c r="S34" s="18"/>
      <c r="T34" s="17"/>
      <c r="U34" s="18"/>
      <c r="V34" s="17"/>
      <c r="W34" s="23">
        <f t="shared" si="0"/>
        <v>0</v>
      </c>
    </row>
    <row r="35" spans="1:23">
      <c r="A35" s="91" t="s">
        <v>150</v>
      </c>
      <c r="B35" s="93">
        <f>SUM(B4:B34)</f>
        <v>0</v>
      </c>
      <c r="C35" s="93">
        <f t="shared" ref="C35:G35" si="3">SUM(C4:C34)</f>
        <v>0</v>
      </c>
      <c r="D35" s="93">
        <f t="shared" si="3"/>
        <v>0</v>
      </c>
      <c r="E35" s="93">
        <f t="shared" si="3"/>
        <v>0</v>
      </c>
      <c r="F35" s="93">
        <f>F34</f>
        <v>0</v>
      </c>
      <c r="G35" s="93">
        <f t="shared" si="3"/>
        <v>0</v>
      </c>
      <c r="H35" s="97">
        <f>H34</f>
        <v>0</v>
      </c>
      <c r="I35" s="12">
        <f>SUM(I4:I34)</f>
        <v>0</v>
      </c>
      <c r="J35" s="12">
        <f>J34</f>
        <v>0</v>
      </c>
      <c r="K35" s="19">
        <f t="shared" ref="K35:W35" si="4">SUM(K4:K34)</f>
        <v>0</v>
      </c>
      <c r="L35" s="19">
        <f t="shared" si="4"/>
        <v>0</v>
      </c>
      <c r="M35" s="19">
        <f t="shared" si="4"/>
        <v>0</v>
      </c>
      <c r="N35" s="19">
        <f t="shared" si="4"/>
        <v>0</v>
      </c>
      <c r="O35" s="19">
        <f t="shared" si="4"/>
        <v>0</v>
      </c>
      <c r="P35" s="19">
        <f t="shared" si="4"/>
        <v>0</v>
      </c>
      <c r="Q35" s="19">
        <f t="shared" si="4"/>
        <v>0</v>
      </c>
      <c r="R35" s="19">
        <f t="shared" si="4"/>
        <v>0</v>
      </c>
      <c r="S35" s="19">
        <f t="shared" si="4"/>
        <v>0</v>
      </c>
      <c r="T35" s="19">
        <f t="shared" si="4"/>
        <v>0</v>
      </c>
      <c r="U35" s="19">
        <f t="shared" si="4"/>
        <v>0</v>
      </c>
      <c r="V35" s="19">
        <f t="shared" si="4"/>
        <v>0</v>
      </c>
      <c r="W35" s="19">
        <f t="shared" si="4"/>
        <v>0</v>
      </c>
    </row>
  </sheetData>
  <mergeCells count="2">
    <mergeCell ref="A1:I1"/>
    <mergeCell ref="J1:W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C24" sqref="C24"/>
    </sheetView>
  </sheetViews>
  <sheetFormatPr defaultColWidth="9.140625" defaultRowHeight="12.75"/>
  <cols>
    <col min="1" max="1" width="22.42578125" customWidth="1"/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2.85546875" customWidth="1"/>
    <col min="10" max="10" width="14" customWidth="1"/>
    <col min="11" max="11" width="13" customWidth="1"/>
  </cols>
  <sheetData>
    <row r="1" spans="1:23" ht="30.95" customHeight="1">
      <c r="A1" s="203"/>
      <c r="B1" s="203"/>
      <c r="C1" s="203"/>
      <c r="D1" s="203"/>
      <c r="E1" s="203"/>
      <c r="F1" s="203"/>
      <c r="G1" s="203"/>
      <c r="H1" s="203"/>
      <c r="I1" s="203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23" ht="51">
      <c r="A3" s="94" t="s">
        <v>130</v>
      </c>
      <c r="B3" s="94" t="s">
        <v>131</v>
      </c>
      <c r="C3" s="94" t="s">
        <v>151</v>
      </c>
      <c r="D3" s="94" t="s">
        <v>132</v>
      </c>
      <c r="E3" s="94" t="s">
        <v>133</v>
      </c>
      <c r="F3" s="94" t="s">
        <v>134</v>
      </c>
      <c r="G3" s="94" t="s">
        <v>135</v>
      </c>
      <c r="H3" s="94" t="s">
        <v>136</v>
      </c>
      <c r="I3" s="94" t="s">
        <v>137</v>
      </c>
      <c r="J3" s="95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3">
      <c r="A4" s="4"/>
      <c r="B4" s="25"/>
      <c r="C4" s="49"/>
      <c r="D4" s="49"/>
      <c r="E4" s="5">
        <f>+B4-D4-C4</f>
        <v>0</v>
      </c>
      <c r="F4" s="5"/>
      <c r="G4" s="46"/>
      <c r="H4" s="6">
        <f>G4</f>
        <v>0</v>
      </c>
      <c r="I4" s="7"/>
      <c r="J4" s="16"/>
      <c r="K4" s="17"/>
      <c r="L4" s="17"/>
      <c r="M4" s="17"/>
      <c r="N4" s="17"/>
      <c r="O4" s="17"/>
      <c r="P4" s="17"/>
      <c r="Q4" s="18"/>
      <c r="R4" s="17"/>
      <c r="S4" s="18"/>
      <c r="T4" s="17"/>
      <c r="U4" s="18"/>
      <c r="V4" s="17"/>
      <c r="W4" s="23">
        <f t="shared" ref="W4:W34" si="0">SUM(K4:V4)</f>
        <v>0</v>
      </c>
    </row>
    <row r="5" spans="1:23">
      <c r="A5" s="4"/>
      <c r="B5" s="25"/>
      <c r="C5" s="49"/>
      <c r="D5" s="49"/>
      <c r="E5" s="5">
        <f t="shared" ref="E5:E34" si="1">+B5-D5-C5</f>
        <v>0</v>
      </c>
      <c r="F5" s="5"/>
      <c r="G5" s="46"/>
      <c r="H5" s="6">
        <f>G5+H4</f>
        <v>0</v>
      </c>
      <c r="I5" s="7"/>
      <c r="J5" s="16"/>
      <c r="K5" s="17"/>
      <c r="L5" s="17"/>
      <c r="M5" s="17"/>
      <c r="N5" s="17"/>
      <c r="O5" s="17"/>
      <c r="P5" s="17"/>
      <c r="Q5" s="18"/>
      <c r="R5" s="17"/>
      <c r="S5" s="18"/>
      <c r="T5" s="17"/>
      <c r="U5" s="18"/>
      <c r="V5" s="17"/>
      <c r="W5" s="23">
        <f t="shared" si="0"/>
        <v>0</v>
      </c>
    </row>
    <row r="6" spans="1:23">
      <c r="A6" s="4"/>
      <c r="B6" s="25"/>
      <c r="C6" s="49"/>
      <c r="D6" s="49"/>
      <c r="E6" s="5">
        <f t="shared" si="1"/>
        <v>0</v>
      </c>
      <c r="F6" s="5"/>
      <c r="G6" s="46"/>
      <c r="H6" s="6">
        <f>G6+H5</f>
        <v>0</v>
      </c>
      <c r="I6" s="7"/>
      <c r="J6" s="16"/>
      <c r="K6" s="17"/>
      <c r="L6" s="17"/>
      <c r="M6" s="17"/>
      <c r="N6" s="17"/>
      <c r="O6" s="17"/>
      <c r="P6" s="17"/>
      <c r="Q6" s="18"/>
      <c r="R6" s="17"/>
      <c r="S6" s="18"/>
      <c r="T6" s="17"/>
      <c r="U6" s="18"/>
      <c r="V6" s="17"/>
      <c r="W6" s="23">
        <f t="shared" si="0"/>
        <v>0</v>
      </c>
    </row>
    <row r="7" spans="1:23">
      <c r="A7" s="4"/>
      <c r="B7" s="25"/>
      <c r="C7" s="49"/>
      <c r="D7" s="49"/>
      <c r="E7" s="5">
        <f t="shared" si="1"/>
        <v>0</v>
      </c>
      <c r="F7" s="5"/>
      <c r="G7" s="46"/>
      <c r="H7" s="6">
        <f t="shared" ref="H7:H34" si="2">G7+H6</f>
        <v>0</v>
      </c>
      <c r="I7" s="7"/>
      <c r="J7" s="16"/>
      <c r="K7" s="17"/>
      <c r="L7" s="17"/>
      <c r="M7" s="17"/>
      <c r="N7" s="17"/>
      <c r="O7" s="17"/>
      <c r="P7" s="17"/>
      <c r="Q7" s="18"/>
      <c r="R7" s="17"/>
      <c r="S7" s="18"/>
      <c r="T7" s="17"/>
      <c r="U7" s="18"/>
      <c r="V7" s="17"/>
      <c r="W7" s="23">
        <f t="shared" si="0"/>
        <v>0</v>
      </c>
    </row>
    <row r="8" spans="1:23">
      <c r="A8" s="4"/>
      <c r="B8" s="25"/>
      <c r="C8" s="49"/>
      <c r="D8" s="49"/>
      <c r="E8" s="5">
        <f t="shared" si="1"/>
        <v>0</v>
      </c>
      <c r="F8" s="5"/>
      <c r="G8" s="46"/>
      <c r="H8" s="6">
        <f t="shared" si="2"/>
        <v>0</v>
      </c>
      <c r="I8" s="7"/>
      <c r="J8" s="16"/>
      <c r="K8" s="17"/>
      <c r="L8" s="17"/>
      <c r="M8" s="17"/>
      <c r="N8" s="17"/>
      <c r="O8" s="17"/>
      <c r="P8" s="17"/>
      <c r="Q8" s="18"/>
      <c r="R8" s="17"/>
      <c r="S8" s="18"/>
      <c r="T8" s="17"/>
      <c r="U8" s="18"/>
      <c r="V8" s="17"/>
      <c r="W8" s="23">
        <f t="shared" si="0"/>
        <v>0</v>
      </c>
    </row>
    <row r="9" spans="1:23">
      <c r="A9" s="4"/>
      <c r="B9" s="25"/>
      <c r="C9" s="49"/>
      <c r="D9" s="49"/>
      <c r="E9" s="5">
        <f t="shared" si="1"/>
        <v>0</v>
      </c>
      <c r="F9" s="5"/>
      <c r="G9" s="46"/>
      <c r="H9" s="6">
        <f t="shared" si="2"/>
        <v>0</v>
      </c>
      <c r="I9" s="7"/>
      <c r="J9" s="16"/>
      <c r="K9" s="17"/>
      <c r="L9" s="17"/>
      <c r="M9" s="17"/>
      <c r="N9" s="17"/>
      <c r="O9" s="17"/>
      <c r="P9" s="17"/>
      <c r="Q9" s="18"/>
      <c r="R9" s="17"/>
      <c r="S9" s="18"/>
      <c r="T9" s="17"/>
      <c r="U9" s="18"/>
      <c r="V9" s="17"/>
      <c r="W9" s="23">
        <f t="shared" si="0"/>
        <v>0</v>
      </c>
    </row>
    <row r="10" spans="1:23">
      <c r="A10" s="4"/>
      <c r="B10" s="25"/>
      <c r="C10" s="49"/>
      <c r="D10" s="49"/>
      <c r="E10" s="5">
        <f t="shared" si="1"/>
        <v>0</v>
      </c>
      <c r="F10" s="5"/>
      <c r="G10" s="46"/>
      <c r="H10" s="6">
        <f t="shared" si="2"/>
        <v>0</v>
      </c>
      <c r="I10" s="7"/>
      <c r="J10" s="16"/>
      <c r="K10" s="17"/>
      <c r="L10" s="17"/>
      <c r="M10" s="17"/>
      <c r="N10" s="17"/>
      <c r="O10" s="17"/>
      <c r="P10" s="17"/>
      <c r="Q10" s="18"/>
      <c r="R10" s="17"/>
      <c r="S10" s="18"/>
      <c r="T10" s="17"/>
      <c r="U10" s="18"/>
      <c r="V10" s="17"/>
      <c r="W10" s="23">
        <f t="shared" si="0"/>
        <v>0</v>
      </c>
    </row>
    <row r="11" spans="1:23">
      <c r="A11" s="4"/>
      <c r="B11" s="26"/>
      <c r="C11" s="49"/>
      <c r="D11" s="49"/>
      <c r="E11" s="5">
        <f t="shared" si="1"/>
        <v>0</v>
      </c>
      <c r="F11" s="5"/>
      <c r="G11" s="46"/>
      <c r="H11" s="6">
        <f t="shared" si="2"/>
        <v>0</v>
      </c>
      <c r="I11" s="7"/>
      <c r="J11" s="16"/>
      <c r="K11" s="17"/>
      <c r="L11" s="17"/>
      <c r="M11" s="17"/>
      <c r="N11" s="17"/>
      <c r="O11" s="17"/>
      <c r="P11" s="17"/>
      <c r="Q11" s="18"/>
      <c r="R11" s="17"/>
      <c r="S11" s="18"/>
      <c r="T11" s="17"/>
      <c r="U11" s="18"/>
      <c r="V11" s="17"/>
      <c r="W11" s="23">
        <f t="shared" si="0"/>
        <v>0</v>
      </c>
    </row>
    <row r="12" spans="1:23">
      <c r="A12" s="4"/>
      <c r="B12" s="25"/>
      <c r="C12" s="49"/>
      <c r="D12" s="49"/>
      <c r="E12" s="5">
        <f t="shared" si="1"/>
        <v>0</v>
      </c>
      <c r="F12" s="5"/>
      <c r="G12" s="46"/>
      <c r="H12" s="6">
        <f t="shared" si="2"/>
        <v>0</v>
      </c>
      <c r="I12" s="7"/>
      <c r="J12" s="16"/>
      <c r="K12" s="17"/>
      <c r="L12" s="17"/>
      <c r="M12" s="17"/>
      <c r="N12" s="17"/>
      <c r="O12" s="17"/>
      <c r="P12" s="17"/>
      <c r="Q12" s="18"/>
      <c r="R12" s="17"/>
      <c r="S12" s="18"/>
      <c r="T12" s="17"/>
      <c r="U12" s="18"/>
      <c r="V12" s="17"/>
      <c r="W12" s="23">
        <f t="shared" si="0"/>
        <v>0</v>
      </c>
    </row>
    <row r="13" spans="1:23">
      <c r="A13" s="4"/>
      <c r="B13" s="9"/>
      <c r="C13" s="49"/>
      <c r="D13" s="49"/>
      <c r="E13" s="5">
        <f t="shared" si="1"/>
        <v>0</v>
      </c>
      <c r="F13" s="5"/>
      <c r="G13" s="46"/>
      <c r="H13" s="6">
        <f t="shared" si="2"/>
        <v>0</v>
      </c>
      <c r="I13" s="7"/>
      <c r="J13" s="16"/>
      <c r="K13" s="17"/>
      <c r="L13" s="17"/>
      <c r="M13" s="17"/>
      <c r="N13" s="17"/>
      <c r="O13" s="17"/>
      <c r="P13" s="17"/>
      <c r="Q13" s="18"/>
      <c r="R13" s="17"/>
      <c r="S13" s="18"/>
      <c r="T13" s="17"/>
      <c r="U13" s="18"/>
      <c r="V13" s="17"/>
      <c r="W13" s="23">
        <f t="shared" si="0"/>
        <v>0</v>
      </c>
    </row>
    <row r="14" spans="1:23">
      <c r="A14" s="4"/>
      <c r="B14" s="9"/>
      <c r="C14" s="49"/>
      <c r="D14" s="49"/>
      <c r="E14" s="5">
        <f t="shared" si="1"/>
        <v>0</v>
      </c>
      <c r="F14" s="5"/>
      <c r="G14" s="46"/>
      <c r="H14" s="6">
        <f t="shared" si="2"/>
        <v>0</v>
      </c>
      <c r="I14" s="7"/>
      <c r="J14" s="16"/>
      <c r="K14" s="17"/>
      <c r="L14" s="17"/>
      <c r="M14" s="17"/>
      <c r="N14" s="17"/>
      <c r="O14" s="17"/>
      <c r="P14" s="17"/>
      <c r="Q14" s="18"/>
      <c r="R14" s="17"/>
      <c r="S14" s="18"/>
      <c r="T14" s="17"/>
      <c r="U14" s="18"/>
      <c r="V14" s="17"/>
      <c r="W14" s="23">
        <f t="shared" si="0"/>
        <v>0</v>
      </c>
    </row>
    <row r="15" spans="1:23">
      <c r="A15" s="4"/>
      <c r="B15" s="10"/>
      <c r="C15" s="49"/>
      <c r="D15" s="49"/>
      <c r="E15" s="5">
        <f t="shared" si="1"/>
        <v>0</v>
      </c>
      <c r="F15" s="5"/>
      <c r="G15" s="46"/>
      <c r="H15" s="6">
        <f t="shared" si="2"/>
        <v>0</v>
      </c>
      <c r="I15" s="7"/>
      <c r="J15" s="16"/>
      <c r="K15" s="17"/>
      <c r="L15" s="17"/>
      <c r="M15" s="17"/>
      <c r="N15" s="17"/>
      <c r="O15" s="17"/>
      <c r="P15" s="17"/>
      <c r="Q15" s="18"/>
      <c r="R15" s="17"/>
      <c r="S15" s="18"/>
      <c r="T15" s="17"/>
      <c r="U15" s="18"/>
      <c r="V15" s="17"/>
      <c r="W15" s="23">
        <f t="shared" si="0"/>
        <v>0</v>
      </c>
    </row>
    <row r="16" spans="1:23">
      <c r="A16" s="4"/>
      <c r="B16" s="25"/>
      <c r="C16" s="49"/>
      <c r="D16" s="49"/>
      <c r="E16" s="5">
        <f t="shared" si="1"/>
        <v>0</v>
      </c>
      <c r="F16" s="5"/>
      <c r="G16" s="46"/>
      <c r="H16" s="6">
        <f t="shared" si="2"/>
        <v>0</v>
      </c>
      <c r="I16" s="7"/>
      <c r="J16" s="16"/>
      <c r="K16" s="17"/>
      <c r="L16" s="17"/>
      <c r="M16" s="17"/>
      <c r="N16" s="17"/>
      <c r="O16" s="17"/>
      <c r="P16" s="17"/>
      <c r="Q16" s="18"/>
      <c r="R16" s="17"/>
      <c r="S16" s="18"/>
      <c r="T16" s="17"/>
      <c r="U16" s="18"/>
      <c r="V16" s="17"/>
      <c r="W16" s="23">
        <f t="shared" si="0"/>
        <v>0</v>
      </c>
    </row>
    <row r="17" spans="1:23">
      <c r="A17" s="4"/>
      <c r="B17" s="25"/>
      <c r="C17" s="49"/>
      <c r="D17" s="49"/>
      <c r="E17" s="5">
        <f t="shared" si="1"/>
        <v>0</v>
      </c>
      <c r="F17" s="5"/>
      <c r="G17" s="46"/>
      <c r="H17" s="6">
        <f t="shared" si="2"/>
        <v>0</v>
      </c>
      <c r="I17" s="7"/>
      <c r="J17" s="16"/>
      <c r="K17" s="17"/>
      <c r="L17" s="17"/>
      <c r="M17" s="17"/>
      <c r="N17" s="17"/>
      <c r="O17" s="17"/>
      <c r="P17" s="17"/>
      <c r="Q17" s="18"/>
      <c r="R17" s="17"/>
      <c r="S17" s="18"/>
      <c r="T17" s="17"/>
      <c r="U17" s="18"/>
      <c r="V17" s="17"/>
      <c r="W17" s="23">
        <f t="shared" si="0"/>
        <v>0</v>
      </c>
    </row>
    <row r="18" spans="1:23">
      <c r="A18" s="4"/>
      <c r="B18" s="25"/>
      <c r="C18" s="49"/>
      <c r="D18" s="49"/>
      <c r="E18" s="5">
        <f t="shared" si="1"/>
        <v>0</v>
      </c>
      <c r="F18" s="5"/>
      <c r="G18" s="46"/>
      <c r="H18" s="6">
        <f t="shared" si="2"/>
        <v>0</v>
      </c>
      <c r="I18" s="7"/>
      <c r="J18" s="16"/>
      <c r="K18" s="17"/>
      <c r="L18" s="17"/>
      <c r="M18" s="17"/>
      <c r="N18" s="17"/>
      <c r="O18" s="17"/>
      <c r="P18" s="17"/>
      <c r="Q18" s="18"/>
      <c r="R18" s="17"/>
      <c r="S18" s="18"/>
      <c r="T18" s="17"/>
      <c r="U18" s="18"/>
      <c r="V18" s="17"/>
      <c r="W18" s="23">
        <f t="shared" si="0"/>
        <v>0</v>
      </c>
    </row>
    <row r="19" spans="1:23">
      <c r="A19" s="4"/>
      <c r="B19" s="25"/>
      <c r="C19" s="49"/>
      <c r="D19" s="49"/>
      <c r="E19" s="5">
        <f t="shared" si="1"/>
        <v>0</v>
      </c>
      <c r="F19" s="5"/>
      <c r="G19" s="46"/>
      <c r="H19" s="6">
        <f t="shared" si="2"/>
        <v>0</v>
      </c>
      <c r="I19" s="7"/>
      <c r="J19" s="16"/>
      <c r="K19" s="17"/>
      <c r="L19" s="17"/>
      <c r="M19" s="17"/>
      <c r="N19" s="17"/>
      <c r="O19" s="17"/>
      <c r="P19" s="17"/>
      <c r="Q19" s="18"/>
      <c r="R19" s="17"/>
      <c r="S19" s="18"/>
      <c r="T19" s="17"/>
      <c r="U19" s="18"/>
      <c r="V19" s="17"/>
      <c r="W19" s="23">
        <f t="shared" si="0"/>
        <v>0</v>
      </c>
    </row>
    <row r="20" spans="1:23">
      <c r="A20" s="4"/>
      <c r="B20" s="25"/>
      <c r="C20" s="49"/>
      <c r="D20" s="49"/>
      <c r="E20" s="5">
        <f t="shared" si="1"/>
        <v>0</v>
      </c>
      <c r="F20" s="5"/>
      <c r="G20" s="46"/>
      <c r="H20" s="6">
        <f t="shared" si="2"/>
        <v>0</v>
      </c>
      <c r="I20" s="7"/>
      <c r="J20" s="16"/>
      <c r="K20" s="17"/>
      <c r="L20" s="17"/>
      <c r="M20" s="17"/>
      <c r="N20" s="17"/>
      <c r="O20" s="17"/>
      <c r="P20" s="17"/>
      <c r="Q20" s="18"/>
      <c r="R20" s="17"/>
      <c r="S20" s="18"/>
      <c r="T20" s="17"/>
      <c r="U20" s="18"/>
      <c r="V20" s="17"/>
      <c r="W20" s="23">
        <f t="shared" si="0"/>
        <v>0</v>
      </c>
    </row>
    <row r="21" spans="1:23">
      <c r="A21" s="4"/>
      <c r="B21" s="50"/>
      <c r="C21" s="49"/>
      <c r="D21" s="49"/>
      <c r="E21" s="5">
        <f t="shared" si="1"/>
        <v>0</v>
      </c>
      <c r="F21" s="5"/>
      <c r="G21" s="47"/>
      <c r="H21" s="6">
        <f t="shared" si="2"/>
        <v>0</v>
      </c>
      <c r="I21" s="7"/>
      <c r="J21" s="16"/>
      <c r="K21" s="17"/>
      <c r="L21" s="17"/>
      <c r="M21" s="17"/>
      <c r="N21" s="17"/>
      <c r="O21" s="17"/>
      <c r="P21" s="17"/>
      <c r="Q21" s="18"/>
      <c r="R21" s="17"/>
      <c r="S21" s="18"/>
      <c r="T21" s="17"/>
      <c r="U21" s="18"/>
      <c r="V21" s="17"/>
      <c r="W21" s="23">
        <f t="shared" si="0"/>
        <v>0</v>
      </c>
    </row>
    <row r="22" spans="1:23">
      <c r="A22" s="4"/>
      <c r="B22" s="25"/>
      <c r="C22" s="49"/>
      <c r="D22" s="49"/>
      <c r="E22" s="5">
        <f t="shared" si="1"/>
        <v>0</v>
      </c>
      <c r="F22" s="5"/>
      <c r="G22" s="46"/>
      <c r="H22" s="6">
        <f t="shared" si="2"/>
        <v>0</v>
      </c>
      <c r="I22" s="7"/>
      <c r="J22" s="16"/>
      <c r="K22" s="17"/>
      <c r="L22" s="17"/>
      <c r="M22" s="17"/>
      <c r="N22" s="17"/>
      <c r="O22" s="17"/>
      <c r="P22" s="17"/>
      <c r="Q22" s="18"/>
      <c r="R22" s="17"/>
      <c r="S22" s="18"/>
      <c r="T22" s="17"/>
      <c r="U22" s="18"/>
      <c r="V22" s="17"/>
      <c r="W22" s="23">
        <f t="shared" si="0"/>
        <v>0</v>
      </c>
    </row>
    <row r="23" spans="1:23">
      <c r="A23" s="4"/>
      <c r="B23" s="25"/>
      <c r="C23" s="49"/>
      <c r="D23" s="49"/>
      <c r="E23" s="5">
        <f t="shared" si="1"/>
        <v>0</v>
      </c>
      <c r="F23" s="5"/>
      <c r="G23" s="46"/>
      <c r="H23" s="6">
        <f t="shared" si="2"/>
        <v>0</v>
      </c>
      <c r="I23" s="7"/>
      <c r="J23" s="16"/>
      <c r="K23" s="17"/>
      <c r="L23" s="17"/>
      <c r="M23" s="17"/>
      <c r="N23" s="17"/>
      <c r="O23" s="17"/>
      <c r="P23" s="17"/>
      <c r="Q23" s="18"/>
      <c r="R23" s="17"/>
      <c r="S23" s="18"/>
      <c r="T23" s="17"/>
      <c r="U23" s="18"/>
      <c r="V23" s="17"/>
      <c r="W23" s="23">
        <f t="shared" si="0"/>
        <v>0</v>
      </c>
    </row>
    <row r="24" spans="1:23">
      <c r="A24" s="4"/>
      <c r="B24" s="25"/>
      <c r="C24" s="49"/>
      <c r="D24" s="49"/>
      <c r="E24" s="5">
        <f t="shared" si="1"/>
        <v>0</v>
      </c>
      <c r="F24" s="5"/>
      <c r="G24" s="46"/>
      <c r="H24" s="6">
        <f t="shared" si="2"/>
        <v>0</v>
      </c>
      <c r="I24" s="7"/>
      <c r="J24" s="16"/>
      <c r="K24" s="17"/>
      <c r="L24" s="17"/>
      <c r="M24" s="17"/>
      <c r="N24" s="17"/>
      <c r="O24" s="17"/>
      <c r="P24" s="17"/>
      <c r="Q24" s="18"/>
      <c r="R24" s="17"/>
      <c r="S24" s="18"/>
      <c r="T24" s="17"/>
      <c r="U24" s="18"/>
      <c r="V24" s="17"/>
      <c r="W24" s="23">
        <f t="shared" si="0"/>
        <v>0</v>
      </c>
    </row>
    <row r="25" spans="1:23">
      <c r="A25" s="4"/>
      <c r="B25" s="25"/>
      <c r="C25" s="49"/>
      <c r="D25" s="49"/>
      <c r="E25" s="5">
        <f t="shared" si="1"/>
        <v>0</v>
      </c>
      <c r="F25" s="5"/>
      <c r="G25" s="46"/>
      <c r="H25" s="6">
        <f t="shared" si="2"/>
        <v>0</v>
      </c>
      <c r="I25" s="7"/>
      <c r="J25" s="16"/>
      <c r="K25" s="17"/>
      <c r="L25" s="17"/>
      <c r="M25" s="17"/>
      <c r="N25" s="17"/>
      <c r="O25" s="17"/>
      <c r="P25" s="17"/>
      <c r="Q25" s="18"/>
      <c r="R25" s="17"/>
      <c r="S25" s="18"/>
      <c r="T25" s="17"/>
      <c r="U25" s="18"/>
      <c r="V25" s="17"/>
      <c r="W25" s="23">
        <f t="shared" si="0"/>
        <v>0</v>
      </c>
    </row>
    <row r="26" spans="1:23">
      <c r="A26" s="4"/>
      <c r="B26" s="25"/>
      <c r="C26" s="49"/>
      <c r="D26" s="49"/>
      <c r="E26" s="5">
        <f t="shared" si="1"/>
        <v>0</v>
      </c>
      <c r="F26" s="5"/>
      <c r="G26" s="48"/>
      <c r="H26" s="6">
        <f t="shared" si="2"/>
        <v>0</v>
      </c>
      <c r="I26" s="7"/>
      <c r="J26" s="16"/>
      <c r="K26" s="17"/>
      <c r="L26" s="17"/>
      <c r="M26" s="17"/>
      <c r="N26" s="17"/>
      <c r="O26" s="17"/>
      <c r="P26" s="17"/>
      <c r="Q26" s="18"/>
      <c r="R26" s="17"/>
      <c r="S26" s="18"/>
      <c r="T26" s="17"/>
      <c r="U26" s="18"/>
      <c r="V26" s="17"/>
      <c r="W26" s="23">
        <f t="shared" si="0"/>
        <v>0</v>
      </c>
    </row>
    <row r="27" spans="1:23">
      <c r="A27" s="4"/>
      <c r="B27" s="25"/>
      <c r="C27" s="49"/>
      <c r="D27" s="49"/>
      <c r="E27" s="5">
        <f t="shared" si="1"/>
        <v>0</v>
      </c>
      <c r="F27" s="5"/>
      <c r="G27" s="46"/>
      <c r="H27" s="6">
        <f t="shared" si="2"/>
        <v>0</v>
      </c>
      <c r="I27" s="7"/>
      <c r="J27" s="16"/>
      <c r="K27" s="17"/>
      <c r="L27" s="17"/>
      <c r="M27" s="17"/>
      <c r="N27" s="17"/>
      <c r="O27" s="17"/>
      <c r="P27" s="17"/>
      <c r="Q27" s="18"/>
      <c r="R27" s="17"/>
      <c r="S27" s="18"/>
      <c r="T27" s="17"/>
      <c r="U27" s="18"/>
      <c r="V27" s="17"/>
      <c r="W27" s="23">
        <f t="shared" si="0"/>
        <v>0</v>
      </c>
    </row>
    <row r="28" spans="1:23">
      <c r="A28" s="4"/>
      <c r="B28" s="25"/>
      <c r="C28" s="49"/>
      <c r="D28" s="49"/>
      <c r="E28" s="5">
        <f t="shared" si="1"/>
        <v>0</v>
      </c>
      <c r="F28" s="5"/>
      <c r="G28" s="46"/>
      <c r="H28" s="6">
        <f t="shared" si="2"/>
        <v>0</v>
      </c>
      <c r="I28" s="7"/>
      <c r="J28" s="16"/>
      <c r="K28" s="17"/>
      <c r="L28" s="17"/>
      <c r="M28" s="17"/>
      <c r="N28" s="17"/>
      <c r="O28" s="17"/>
      <c r="P28" s="17"/>
      <c r="Q28" s="18"/>
      <c r="R28" s="17"/>
      <c r="S28" s="18"/>
      <c r="T28" s="17"/>
      <c r="U28" s="18"/>
      <c r="V28" s="17"/>
      <c r="W28" s="23">
        <f t="shared" si="0"/>
        <v>0</v>
      </c>
    </row>
    <row r="29" spans="1:23">
      <c r="A29" s="4"/>
      <c r="B29" s="25"/>
      <c r="C29" s="49"/>
      <c r="D29" s="49"/>
      <c r="E29" s="5">
        <f t="shared" si="1"/>
        <v>0</v>
      </c>
      <c r="F29" s="5"/>
      <c r="G29" s="46"/>
      <c r="H29" s="6">
        <f t="shared" si="2"/>
        <v>0</v>
      </c>
      <c r="I29" s="7"/>
      <c r="J29" s="16"/>
      <c r="K29" s="17"/>
      <c r="L29" s="17"/>
      <c r="M29" s="17"/>
      <c r="N29" s="17"/>
      <c r="O29" s="17"/>
      <c r="P29" s="17"/>
      <c r="Q29" s="18"/>
      <c r="R29" s="17"/>
      <c r="S29" s="18"/>
      <c r="T29" s="17"/>
      <c r="U29" s="18"/>
      <c r="V29" s="17"/>
      <c r="W29" s="23">
        <f t="shared" si="0"/>
        <v>0</v>
      </c>
    </row>
    <row r="30" spans="1:23">
      <c r="A30" s="4"/>
      <c r="B30" s="25"/>
      <c r="C30" s="49"/>
      <c r="D30" s="49"/>
      <c r="E30" s="5">
        <f t="shared" si="1"/>
        <v>0</v>
      </c>
      <c r="F30" s="5"/>
      <c r="G30" s="46"/>
      <c r="H30" s="6">
        <f t="shared" si="2"/>
        <v>0</v>
      </c>
      <c r="I30" s="7"/>
      <c r="J30" s="16"/>
      <c r="K30" s="17"/>
      <c r="L30" s="17"/>
      <c r="M30" s="17"/>
      <c r="N30" s="17"/>
      <c r="O30" s="17"/>
      <c r="P30" s="17"/>
      <c r="Q30" s="18"/>
      <c r="R30" s="17"/>
      <c r="S30" s="18"/>
      <c r="T30" s="17"/>
      <c r="U30" s="18"/>
      <c r="V30" s="17"/>
      <c r="W30" s="23">
        <f t="shared" si="0"/>
        <v>0</v>
      </c>
    </row>
    <row r="31" spans="1:23">
      <c r="A31" s="4"/>
      <c r="B31" s="25"/>
      <c r="C31" s="49"/>
      <c r="D31" s="49"/>
      <c r="E31" s="5">
        <f t="shared" si="1"/>
        <v>0</v>
      </c>
      <c r="F31" s="5"/>
      <c r="G31" s="46"/>
      <c r="H31" s="6">
        <f>G31+H30</f>
        <v>0</v>
      </c>
      <c r="I31" s="7"/>
      <c r="J31" s="16"/>
      <c r="K31" s="17"/>
      <c r="L31" s="17"/>
      <c r="M31" s="17"/>
      <c r="N31" s="17"/>
      <c r="O31" s="17"/>
      <c r="P31" s="17"/>
      <c r="Q31" s="18"/>
      <c r="R31" s="17"/>
      <c r="S31" s="18"/>
      <c r="T31" s="17"/>
      <c r="U31" s="18"/>
      <c r="V31" s="17"/>
      <c r="W31" s="23">
        <f t="shared" si="0"/>
        <v>0</v>
      </c>
    </row>
    <row r="32" spans="1:23">
      <c r="A32" s="4"/>
      <c r="B32" s="25"/>
      <c r="C32" s="49"/>
      <c r="D32" s="49"/>
      <c r="E32" s="5">
        <f t="shared" si="1"/>
        <v>0</v>
      </c>
      <c r="F32" s="5"/>
      <c r="G32" s="46"/>
      <c r="H32" s="6">
        <f t="shared" si="2"/>
        <v>0</v>
      </c>
      <c r="I32" s="7"/>
      <c r="J32" s="16"/>
      <c r="K32" s="17"/>
      <c r="L32" s="17"/>
      <c r="M32" s="17"/>
      <c r="N32" s="17"/>
      <c r="O32" s="17"/>
      <c r="P32" s="17"/>
      <c r="Q32" s="18"/>
      <c r="R32" s="17"/>
      <c r="S32" s="18"/>
      <c r="T32" s="17"/>
      <c r="U32" s="18"/>
      <c r="V32" s="17"/>
      <c r="W32" s="23">
        <f t="shared" si="0"/>
        <v>0</v>
      </c>
    </row>
    <row r="33" spans="1:23">
      <c r="A33" s="4"/>
      <c r="B33" s="8"/>
      <c r="C33" s="49"/>
      <c r="D33" s="49"/>
      <c r="E33" s="5">
        <f t="shared" si="1"/>
        <v>0</v>
      </c>
      <c r="F33" s="5"/>
      <c r="G33" s="46"/>
      <c r="H33" s="6">
        <f t="shared" si="2"/>
        <v>0</v>
      </c>
      <c r="I33" s="7"/>
      <c r="J33" s="16"/>
      <c r="K33" s="17"/>
      <c r="L33" s="17"/>
      <c r="M33" s="17"/>
      <c r="N33" s="17"/>
      <c r="O33" s="17"/>
      <c r="P33" s="17"/>
      <c r="Q33" s="18"/>
      <c r="R33" s="17"/>
      <c r="S33" s="18"/>
      <c r="T33" s="17"/>
      <c r="U33" s="18"/>
      <c r="V33" s="17"/>
      <c r="W33" s="23">
        <f t="shared" si="0"/>
        <v>0</v>
      </c>
    </row>
    <row r="34" spans="1:23">
      <c r="A34" s="4"/>
      <c r="B34" s="92"/>
      <c r="C34" s="49"/>
      <c r="D34" s="49"/>
      <c r="E34" s="5">
        <f t="shared" si="1"/>
        <v>0</v>
      </c>
      <c r="F34" s="5"/>
      <c r="G34" s="46"/>
      <c r="H34" s="6">
        <f t="shared" si="2"/>
        <v>0</v>
      </c>
      <c r="I34" s="7"/>
      <c r="J34" s="16"/>
      <c r="K34" s="17"/>
      <c r="L34" s="17"/>
      <c r="M34" s="17"/>
      <c r="N34" s="17"/>
      <c r="O34" s="17"/>
      <c r="P34" s="17"/>
      <c r="Q34" s="18"/>
      <c r="R34" s="17"/>
      <c r="S34" s="18"/>
      <c r="T34" s="17"/>
      <c r="U34" s="18"/>
      <c r="V34" s="17"/>
      <c r="W34" s="23">
        <f t="shared" si="0"/>
        <v>0</v>
      </c>
    </row>
    <row r="35" spans="1:23">
      <c r="A35" s="91" t="s">
        <v>150</v>
      </c>
      <c r="B35" s="93">
        <f>SUM(B4:B34)</f>
        <v>0</v>
      </c>
      <c r="C35" s="93">
        <f t="shared" ref="C35:G35" si="3">SUM(C4:C34)</f>
        <v>0</v>
      </c>
      <c r="D35" s="93">
        <f t="shared" si="3"/>
        <v>0</v>
      </c>
      <c r="E35" s="93">
        <f t="shared" si="3"/>
        <v>0</v>
      </c>
      <c r="F35" s="93">
        <f>F34</f>
        <v>0</v>
      </c>
      <c r="G35" s="93">
        <f t="shared" si="3"/>
        <v>0</v>
      </c>
      <c r="H35" s="97">
        <f>H34</f>
        <v>0</v>
      </c>
      <c r="I35" s="12">
        <f>SUM(I4:I34)</f>
        <v>0</v>
      </c>
      <c r="J35" s="12">
        <f>J34</f>
        <v>0</v>
      </c>
      <c r="K35" s="19">
        <f t="shared" ref="K35:W35" si="4">SUM(K4:K34)</f>
        <v>0</v>
      </c>
      <c r="L35" s="19">
        <f t="shared" si="4"/>
        <v>0</v>
      </c>
      <c r="M35" s="19">
        <f t="shared" si="4"/>
        <v>0</v>
      </c>
      <c r="N35" s="19">
        <f t="shared" si="4"/>
        <v>0</v>
      </c>
      <c r="O35" s="19">
        <f t="shared" si="4"/>
        <v>0</v>
      </c>
      <c r="P35" s="19">
        <f t="shared" si="4"/>
        <v>0</v>
      </c>
      <c r="Q35" s="19">
        <f t="shared" si="4"/>
        <v>0</v>
      </c>
      <c r="R35" s="19">
        <f t="shared" si="4"/>
        <v>0</v>
      </c>
      <c r="S35" s="19">
        <f t="shared" si="4"/>
        <v>0</v>
      </c>
      <c r="T35" s="19">
        <f t="shared" si="4"/>
        <v>0</v>
      </c>
      <c r="U35" s="19">
        <f t="shared" si="4"/>
        <v>0</v>
      </c>
      <c r="V35" s="19">
        <f t="shared" si="4"/>
        <v>0</v>
      </c>
      <c r="W35" s="19">
        <f t="shared" si="4"/>
        <v>0</v>
      </c>
    </row>
  </sheetData>
  <mergeCells count="2">
    <mergeCell ref="A1:I1"/>
    <mergeCell ref="J1:W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D20" sqref="D20:D21"/>
    </sheetView>
  </sheetViews>
  <sheetFormatPr defaultColWidth="9.140625" defaultRowHeight="12.75"/>
  <cols>
    <col min="1" max="1" width="22.42578125" customWidth="1"/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2.85546875" customWidth="1"/>
    <col min="10" max="10" width="14" customWidth="1"/>
    <col min="11" max="11" width="13" customWidth="1"/>
  </cols>
  <sheetData>
    <row r="1" spans="1:23" ht="30.95" customHeight="1">
      <c r="A1" s="203"/>
      <c r="B1" s="203"/>
      <c r="C1" s="203"/>
      <c r="D1" s="203"/>
      <c r="E1" s="203"/>
      <c r="F1" s="203"/>
      <c r="G1" s="203"/>
      <c r="H1" s="203"/>
      <c r="I1" s="203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23" ht="51">
      <c r="A3" s="94" t="s">
        <v>130</v>
      </c>
      <c r="B3" s="94" t="s">
        <v>131</v>
      </c>
      <c r="C3" s="94" t="s">
        <v>151</v>
      </c>
      <c r="D3" s="94" t="s">
        <v>132</v>
      </c>
      <c r="E3" s="94" t="s">
        <v>133</v>
      </c>
      <c r="F3" s="94" t="s">
        <v>134</v>
      </c>
      <c r="G3" s="94" t="s">
        <v>135</v>
      </c>
      <c r="H3" s="94" t="s">
        <v>136</v>
      </c>
      <c r="I3" s="94" t="s">
        <v>137</v>
      </c>
      <c r="J3" s="95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3">
      <c r="A4" s="4"/>
      <c r="B4" s="25"/>
      <c r="C4" s="49"/>
      <c r="D4" s="49"/>
      <c r="E4" s="5">
        <f>+B4-D4-C4</f>
        <v>0</v>
      </c>
      <c r="F4" s="5"/>
      <c r="G4" s="46"/>
      <c r="H4" s="6">
        <f>G4</f>
        <v>0</v>
      </c>
      <c r="I4" s="7"/>
      <c r="J4" s="16"/>
      <c r="K4" s="17"/>
      <c r="L4" s="17"/>
      <c r="M4" s="17"/>
      <c r="N4" s="17"/>
      <c r="O4" s="17"/>
      <c r="P4" s="17"/>
      <c r="Q4" s="18"/>
      <c r="R4" s="17"/>
      <c r="S4" s="18"/>
      <c r="T4" s="17"/>
      <c r="U4" s="18"/>
      <c r="V4" s="17"/>
      <c r="W4" s="23">
        <f t="shared" ref="W4:W34" si="0">SUM(K4:V4)</f>
        <v>0</v>
      </c>
    </row>
    <row r="5" spans="1:23">
      <c r="A5" s="4"/>
      <c r="B5" s="25"/>
      <c r="C5" s="49"/>
      <c r="D5" s="49"/>
      <c r="E5" s="5">
        <f t="shared" ref="E5:E34" si="1">+B5-D5-C5</f>
        <v>0</v>
      </c>
      <c r="F5" s="5"/>
      <c r="G5" s="46"/>
      <c r="H5" s="6">
        <f>G5+H4</f>
        <v>0</v>
      </c>
      <c r="I5" s="7"/>
      <c r="J5" s="16"/>
      <c r="K5" s="17"/>
      <c r="L5" s="17"/>
      <c r="M5" s="17"/>
      <c r="N5" s="17"/>
      <c r="O5" s="17"/>
      <c r="P5" s="17"/>
      <c r="Q5" s="18"/>
      <c r="R5" s="17"/>
      <c r="S5" s="18"/>
      <c r="T5" s="17"/>
      <c r="U5" s="18"/>
      <c r="V5" s="17"/>
      <c r="W5" s="23">
        <f t="shared" si="0"/>
        <v>0</v>
      </c>
    </row>
    <row r="6" spans="1:23">
      <c r="A6" s="4"/>
      <c r="B6" s="25"/>
      <c r="C6" s="49"/>
      <c r="D6" s="49"/>
      <c r="E6" s="5">
        <f t="shared" si="1"/>
        <v>0</v>
      </c>
      <c r="F6" s="5"/>
      <c r="G6" s="46"/>
      <c r="H6" s="6">
        <f>G6+H5</f>
        <v>0</v>
      </c>
      <c r="I6" s="7"/>
      <c r="J6" s="16"/>
      <c r="K6" s="17"/>
      <c r="L6" s="17"/>
      <c r="M6" s="17"/>
      <c r="N6" s="17"/>
      <c r="O6" s="17"/>
      <c r="P6" s="17"/>
      <c r="Q6" s="18"/>
      <c r="R6" s="17"/>
      <c r="S6" s="18"/>
      <c r="T6" s="17"/>
      <c r="U6" s="18"/>
      <c r="V6" s="17"/>
      <c r="W6" s="23">
        <f t="shared" si="0"/>
        <v>0</v>
      </c>
    </row>
    <row r="7" spans="1:23">
      <c r="A7" s="4"/>
      <c r="B7" s="25"/>
      <c r="C7" s="49"/>
      <c r="D7" s="49"/>
      <c r="E7" s="5">
        <f t="shared" si="1"/>
        <v>0</v>
      </c>
      <c r="F7" s="5"/>
      <c r="G7" s="46"/>
      <c r="H7" s="6">
        <f t="shared" ref="H7:H34" si="2">G7+H6</f>
        <v>0</v>
      </c>
      <c r="I7" s="7"/>
      <c r="J7" s="16"/>
      <c r="K7" s="17"/>
      <c r="L7" s="17"/>
      <c r="M7" s="17"/>
      <c r="N7" s="17"/>
      <c r="O7" s="17"/>
      <c r="P7" s="17"/>
      <c r="Q7" s="18"/>
      <c r="R7" s="17"/>
      <c r="S7" s="18"/>
      <c r="T7" s="17"/>
      <c r="U7" s="18"/>
      <c r="V7" s="17"/>
      <c r="W7" s="23">
        <f t="shared" si="0"/>
        <v>0</v>
      </c>
    </row>
    <row r="8" spans="1:23">
      <c r="A8" s="4"/>
      <c r="B8" s="25"/>
      <c r="C8" s="49"/>
      <c r="D8" s="49"/>
      <c r="E8" s="5">
        <f t="shared" si="1"/>
        <v>0</v>
      </c>
      <c r="F8" s="5"/>
      <c r="G8" s="46"/>
      <c r="H8" s="6">
        <f t="shared" si="2"/>
        <v>0</v>
      </c>
      <c r="I8" s="7"/>
      <c r="J8" s="16"/>
      <c r="K8" s="17"/>
      <c r="L8" s="17"/>
      <c r="M8" s="17"/>
      <c r="N8" s="17"/>
      <c r="O8" s="17"/>
      <c r="P8" s="17"/>
      <c r="Q8" s="18"/>
      <c r="R8" s="17"/>
      <c r="S8" s="18"/>
      <c r="T8" s="17"/>
      <c r="U8" s="18"/>
      <c r="V8" s="17"/>
      <c r="W8" s="23">
        <f t="shared" si="0"/>
        <v>0</v>
      </c>
    </row>
    <row r="9" spans="1:23">
      <c r="A9" s="4"/>
      <c r="B9" s="25"/>
      <c r="C9" s="49"/>
      <c r="D9" s="49"/>
      <c r="E9" s="5">
        <f t="shared" si="1"/>
        <v>0</v>
      </c>
      <c r="F9" s="5"/>
      <c r="G9" s="46"/>
      <c r="H9" s="6">
        <f t="shared" si="2"/>
        <v>0</v>
      </c>
      <c r="I9" s="7"/>
      <c r="J9" s="16"/>
      <c r="K9" s="17"/>
      <c r="L9" s="17"/>
      <c r="M9" s="17"/>
      <c r="N9" s="17"/>
      <c r="O9" s="17"/>
      <c r="P9" s="17"/>
      <c r="Q9" s="18"/>
      <c r="R9" s="17"/>
      <c r="S9" s="18"/>
      <c r="T9" s="17"/>
      <c r="U9" s="18"/>
      <c r="V9" s="17"/>
      <c r="W9" s="23">
        <f t="shared" si="0"/>
        <v>0</v>
      </c>
    </row>
    <row r="10" spans="1:23">
      <c r="A10" s="4"/>
      <c r="B10" s="25"/>
      <c r="C10" s="49"/>
      <c r="D10" s="49"/>
      <c r="E10" s="5">
        <f t="shared" si="1"/>
        <v>0</v>
      </c>
      <c r="F10" s="5"/>
      <c r="G10" s="46"/>
      <c r="H10" s="6">
        <f t="shared" si="2"/>
        <v>0</v>
      </c>
      <c r="I10" s="7"/>
      <c r="J10" s="16"/>
      <c r="K10" s="17"/>
      <c r="L10" s="17"/>
      <c r="M10" s="17"/>
      <c r="N10" s="17"/>
      <c r="O10" s="17"/>
      <c r="P10" s="17"/>
      <c r="Q10" s="18"/>
      <c r="R10" s="17"/>
      <c r="S10" s="18"/>
      <c r="T10" s="17"/>
      <c r="U10" s="18"/>
      <c r="V10" s="17"/>
      <c r="W10" s="23">
        <f t="shared" si="0"/>
        <v>0</v>
      </c>
    </row>
    <row r="11" spans="1:23">
      <c r="A11" s="4"/>
      <c r="B11" s="26"/>
      <c r="C11" s="49"/>
      <c r="D11" s="49"/>
      <c r="E11" s="5">
        <f t="shared" si="1"/>
        <v>0</v>
      </c>
      <c r="F11" s="5"/>
      <c r="G11" s="46"/>
      <c r="H11" s="6">
        <f t="shared" si="2"/>
        <v>0</v>
      </c>
      <c r="I11" s="7"/>
      <c r="J11" s="16"/>
      <c r="K11" s="17"/>
      <c r="L11" s="17"/>
      <c r="M11" s="17"/>
      <c r="N11" s="17"/>
      <c r="O11" s="17"/>
      <c r="P11" s="17"/>
      <c r="Q11" s="18"/>
      <c r="R11" s="17"/>
      <c r="S11" s="18"/>
      <c r="T11" s="17"/>
      <c r="U11" s="18"/>
      <c r="V11" s="17"/>
      <c r="W11" s="23">
        <f t="shared" si="0"/>
        <v>0</v>
      </c>
    </row>
    <row r="12" spans="1:23">
      <c r="A12" s="4"/>
      <c r="B12" s="25"/>
      <c r="C12" s="49"/>
      <c r="D12" s="49"/>
      <c r="E12" s="5">
        <f t="shared" si="1"/>
        <v>0</v>
      </c>
      <c r="F12" s="5"/>
      <c r="G12" s="46"/>
      <c r="H12" s="6">
        <f t="shared" si="2"/>
        <v>0</v>
      </c>
      <c r="I12" s="7"/>
      <c r="J12" s="16"/>
      <c r="K12" s="17"/>
      <c r="L12" s="17"/>
      <c r="M12" s="17"/>
      <c r="N12" s="17"/>
      <c r="O12" s="17"/>
      <c r="P12" s="17"/>
      <c r="Q12" s="18"/>
      <c r="R12" s="17"/>
      <c r="S12" s="18"/>
      <c r="T12" s="17"/>
      <c r="U12" s="18"/>
      <c r="V12" s="17"/>
      <c r="W12" s="23">
        <f t="shared" si="0"/>
        <v>0</v>
      </c>
    </row>
    <row r="13" spans="1:23">
      <c r="A13" s="4"/>
      <c r="B13" s="9"/>
      <c r="C13" s="49"/>
      <c r="D13" s="49"/>
      <c r="E13" s="5">
        <f t="shared" si="1"/>
        <v>0</v>
      </c>
      <c r="F13" s="5"/>
      <c r="G13" s="46"/>
      <c r="H13" s="6">
        <f t="shared" si="2"/>
        <v>0</v>
      </c>
      <c r="I13" s="7"/>
      <c r="J13" s="16"/>
      <c r="K13" s="17"/>
      <c r="L13" s="17"/>
      <c r="M13" s="17"/>
      <c r="N13" s="17"/>
      <c r="O13" s="17"/>
      <c r="P13" s="17"/>
      <c r="Q13" s="18"/>
      <c r="R13" s="17"/>
      <c r="S13" s="18"/>
      <c r="T13" s="17"/>
      <c r="U13" s="18"/>
      <c r="V13" s="17"/>
      <c r="W13" s="23">
        <f t="shared" si="0"/>
        <v>0</v>
      </c>
    </row>
    <row r="14" spans="1:23">
      <c r="A14" s="4"/>
      <c r="B14" s="9"/>
      <c r="C14" s="49"/>
      <c r="D14" s="49"/>
      <c r="E14" s="5">
        <f t="shared" si="1"/>
        <v>0</v>
      </c>
      <c r="F14" s="5"/>
      <c r="G14" s="46"/>
      <c r="H14" s="6">
        <f t="shared" si="2"/>
        <v>0</v>
      </c>
      <c r="I14" s="7"/>
      <c r="J14" s="16"/>
      <c r="K14" s="17"/>
      <c r="L14" s="17"/>
      <c r="M14" s="17"/>
      <c r="N14" s="17"/>
      <c r="O14" s="17"/>
      <c r="P14" s="17"/>
      <c r="Q14" s="18"/>
      <c r="R14" s="17"/>
      <c r="S14" s="18"/>
      <c r="T14" s="17"/>
      <c r="U14" s="18"/>
      <c r="V14" s="17"/>
      <c r="W14" s="23">
        <f t="shared" si="0"/>
        <v>0</v>
      </c>
    </row>
    <row r="15" spans="1:23">
      <c r="A15" s="4"/>
      <c r="B15" s="10"/>
      <c r="C15" s="49"/>
      <c r="D15" s="49"/>
      <c r="E15" s="5">
        <f t="shared" si="1"/>
        <v>0</v>
      </c>
      <c r="F15" s="5"/>
      <c r="G15" s="46"/>
      <c r="H15" s="6">
        <f t="shared" si="2"/>
        <v>0</v>
      </c>
      <c r="I15" s="7"/>
      <c r="J15" s="16"/>
      <c r="K15" s="17"/>
      <c r="L15" s="17"/>
      <c r="M15" s="17"/>
      <c r="N15" s="17"/>
      <c r="O15" s="17"/>
      <c r="P15" s="17"/>
      <c r="Q15" s="18"/>
      <c r="R15" s="17"/>
      <c r="S15" s="18"/>
      <c r="T15" s="17"/>
      <c r="U15" s="18"/>
      <c r="V15" s="17"/>
      <c r="W15" s="23">
        <f t="shared" si="0"/>
        <v>0</v>
      </c>
    </row>
    <row r="16" spans="1:23">
      <c r="A16" s="4"/>
      <c r="B16" s="25"/>
      <c r="C16" s="49"/>
      <c r="D16" s="49"/>
      <c r="E16" s="5">
        <f t="shared" si="1"/>
        <v>0</v>
      </c>
      <c r="F16" s="5"/>
      <c r="G16" s="46"/>
      <c r="H16" s="6">
        <f t="shared" si="2"/>
        <v>0</v>
      </c>
      <c r="I16" s="7"/>
      <c r="J16" s="16"/>
      <c r="K16" s="17"/>
      <c r="L16" s="17"/>
      <c r="M16" s="17"/>
      <c r="N16" s="17"/>
      <c r="O16" s="17"/>
      <c r="P16" s="17"/>
      <c r="Q16" s="18"/>
      <c r="R16" s="17"/>
      <c r="S16" s="18"/>
      <c r="T16" s="17"/>
      <c r="U16" s="18"/>
      <c r="V16" s="17"/>
      <c r="W16" s="23">
        <f t="shared" si="0"/>
        <v>0</v>
      </c>
    </row>
    <row r="17" spans="1:23">
      <c r="A17" s="4"/>
      <c r="B17" s="25"/>
      <c r="C17" s="49"/>
      <c r="D17" s="49"/>
      <c r="E17" s="5">
        <f t="shared" si="1"/>
        <v>0</v>
      </c>
      <c r="F17" s="5"/>
      <c r="G17" s="46"/>
      <c r="H17" s="6">
        <f t="shared" si="2"/>
        <v>0</v>
      </c>
      <c r="I17" s="7"/>
      <c r="J17" s="16"/>
      <c r="K17" s="17"/>
      <c r="L17" s="17"/>
      <c r="M17" s="17"/>
      <c r="N17" s="17"/>
      <c r="O17" s="17"/>
      <c r="P17" s="17"/>
      <c r="Q17" s="18"/>
      <c r="R17" s="17"/>
      <c r="S17" s="18"/>
      <c r="T17" s="17"/>
      <c r="U17" s="18"/>
      <c r="V17" s="17"/>
      <c r="W17" s="23">
        <f t="shared" si="0"/>
        <v>0</v>
      </c>
    </row>
    <row r="18" spans="1:23">
      <c r="A18" s="4"/>
      <c r="B18" s="25"/>
      <c r="C18" s="49"/>
      <c r="D18" s="49"/>
      <c r="E18" s="5">
        <f t="shared" si="1"/>
        <v>0</v>
      </c>
      <c r="F18" s="5"/>
      <c r="G18" s="46"/>
      <c r="H18" s="6">
        <f t="shared" si="2"/>
        <v>0</v>
      </c>
      <c r="I18" s="7"/>
      <c r="J18" s="16"/>
      <c r="K18" s="17"/>
      <c r="L18" s="17"/>
      <c r="M18" s="17"/>
      <c r="N18" s="17"/>
      <c r="O18" s="17"/>
      <c r="P18" s="17"/>
      <c r="Q18" s="18"/>
      <c r="R18" s="17"/>
      <c r="S18" s="18"/>
      <c r="T18" s="17"/>
      <c r="U18" s="18"/>
      <c r="V18" s="17"/>
      <c r="W18" s="23">
        <f t="shared" si="0"/>
        <v>0</v>
      </c>
    </row>
    <row r="19" spans="1:23">
      <c r="A19" s="4"/>
      <c r="B19" s="25"/>
      <c r="C19" s="49"/>
      <c r="D19" s="49"/>
      <c r="E19" s="5">
        <f t="shared" si="1"/>
        <v>0</v>
      </c>
      <c r="F19" s="5"/>
      <c r="G19" s="46"/>
      <c r="H19" s="6">
        <f t="shared" si="2"/>
        <v>0</v>
      </c>
      <c r="I19" s="7"/>
      <c r="J19" s="16"/>
      <c r="K19" s="17"/>
      <c r="L19" s="17"/>
      <c r="M19" s="17"/>
      <c r="N19" s="17"/>
      <c r="O19" s="17"/>
      <c r="P19" s="17"/>
      <c r="Q19" s="18"/>
      <c r="R19" s="17"/>
      <c r="S19" s="18"/>
      <c r="T19" s="17"/>
      <c r="U19" s="18"/>
      <c r="V19" s="17"/>
      <c r="W19" s="23">
        <f t="shared" si="0"/>
        <v>0</v>
      </c>
    </row>
    <row r="20" spans="1:23">
      <c r="A20" s="4"/>
      <c r="B20" s="25"/>
      <c r="C20" s="49"/>
      <c r="D20" s="49"/>
      <c r="E20" s="5">
        <f t="shared" si="1"/>
        <v>0</v>
      </c>
      <c r="F20" s="5"/>
      <c r="G20" s="46"/>
      <c r="H20" s="6">
        <f t="shared" si="2"/>
        <v>0</v>
      </c>
      <c r="I20" s="7"/>
      <c r="J20" s="16"/>
      <c r="K20" s="17"/>
      <c r="L20" s="17"/>
      <c r="M20" s="17"/>
      <c r="N20" s="17"/>
      <c r="O20" s="17"/>
      <c r="P20" s="17"/>
      <c r="Q20" s="18"/>
      <c r="R20" s="17"/>
      <c r="S20" s="18"/>
      <c r="T20" s="17"/>
      <c r="U20" s="18"/>
      <c r="V20" s="17"/>
      <c r="W20" s="23">
        <f t="shared" si="0"/>
        <v>0</v>
      </c>
    </row>
    <row r="21" spans="1:23">
      <c r="A21" s="4"/>
      <c r="B21" s="50"/>
      <c r="C21" s="49"/>
      <c r="D21" s="49"/>
      <c r="E21" s="5">
        <f t="shared" si="1"/>
        <v>0</v>
      </c>
      <c r="F21" s="5"/>
      <c r="G21" s="47"/>
      <c r="H21" s="6">
        <f t="shared" si="2"/>
        <v>0</v>
      </c>
      <c r="I21" s="7"/>
      <c r="J21" s="16"/>
      <c r="K21" s="17"/>
      <c r="L21" s="17"/>
      <c r="M21" s="17"/>
      <c r="N21" s="17"/>
      <c r="O21" s="17"/>
      <c r="P21" s="17"/>
      <c r="Q21" s="18"/>
      <c r="R21" s="17"/>
      <c r="S21" s="18"/>
      <c r="T21" s="17"/>
      <c r="U21" s="18"/>
      <c r="V21" s="17"/>
      <c r="W21" s="23">
        <f t="shared" si="0"/>
        <v>0</v>
      </c>
    </row>
    <row r="22" spans="1:23">
      <c r="A22" s="4"/>
      <c r="B22" s="25"/>
      <c r="C22" s="49"/>
      <c r="D22" s="49"/>
      <c r="E22" s="5">
        <f t="shared" si="1"/>
        <v>0</v>
      </c>
      <c r="F22" s="5"/>
      <c r="G22" s="46"/>
      <c r="H22" s="6">
        <f t="shared" si="2"/>
        <v>0</v>
      </c>
      <c r="I22" s="7"/>
      <c r="J22" s="16"/>
      <c r="K22" s="17"/>
      <c r="L22" s="17"/>
      <c r="M22" s="17"/>
      <c r="N22" s="17"/>
      <c r="O22" s="17"/>
      <c r="P22" s="17"/>
      <c r="Q22" s="18"/>
      <c r="R22" s="17"/>
      <c r="S22" s="18"/>
      <c r="T22" s="17"/>
      <c r="U22" s="18"/>
      <c r="V22" s="17"/>
      <c r="W22" s="23">
        <f t="shared" si="0"/>
        <v>0</v>
      </c>
    </row>
    <row r="23" spans="1:23">
      <c r="A23" s="4"/>
      <c r="B23" s="25"/>
      <c r="C23" s="49"/>
      <c r="D23" s="49"/>
      <c r="E23" s="5">
        <f t="shared" si="1"/>
        <v>0</v>
      </c>
      <c r="F23" s="5"/>
      <c r="G23" s="46"/>
      <c r="H23" s="6">
        <f t="shared" si="2"/>
        <v>0</v>
      </c>
      <c r="I23" s="7"/>
      <c r="J23" s="16"/>
      <c r="K23" s="17"/>
      <c r="L23" s="17"/>
      <c r="M23" s="17"/>
      <c r="N23" s="17"/>
      <c r="O23" s="17"/>
      <c r="P23" s="17"/>
      <c r="Q23" s="18"/>
      <c r="R23" s="17"/>
      <c r="S23" s="18"/>
      <c r="T23" s="17"/>
      <c r="U23" s="18"/>
      <c r="V23" s="17"/>
      <c r="W23" s="23">
        <f t="shared" si="0"/>
        <v>0</v>
      </c>
    </row>
    <row r="24" spans="1:23">
      <c r="A24" s="4"/>
      <c r="B24" s="25"/>
      <c r="C24" s="49"/>
      <c r="D24" s="49"/>
      <c r="E24" s="5">
        <f t="shared" si="1"/>
        <v>0</v>
      </c>
      <c r="F24" s="5"/>
      <c r="G24" s="46"/>
      <c r="H24" s="6">
        <f t="shared" si="2"/>
        <v>0</v>
      </c>
      <c r="I24" s="7"/>
      <c r="J24" s="16"/>
      <c r="K24" s="17"/>
      <c r="L24" s="17"/>
      <c r="M24" s="17"/>
      <c r="N24" s="17"/>
      <c r="O24" s="17"/>
      <c r="P24" s="17"/>
      <c r="Q24" s="18"/>
      <c r="R24" s="17"/>
      <c r="S24" s="18"/>
      <c r="T24" s="17"/>
      <c r="U24" s="18"/>
      <c r="V24" s="17"/>
      <c r="W24" s="23">
        <f t="shared" si="0"/>
        <v>0</v>
      </c>
    </row>
    <row r="25" spans="1:23">
      <c r="A25" s="4"/>
      <c r="B25" s="25"/>
      <c r="C25" s="49"/>
      <c r="D25" s="49"/>
      <c r="E25" s="5">
        <f t="shared" si="1"/>
        <v>0</v>
      </c>
      <c r="F25" s="5"/>
      <c r="G25" s="46"/>
      <c r="H25" s="6">
        <f t="shared" si="2"/>
        <v>0</v>
      </c>
      <c r="I25" s="7"/>
      <c r="J25" s="16"/>
      <c r="K25" s="17"/>
      <c r="L25" s="17"/>
      <c r="M25" s="17"/>
      <c r="N25" s="17"/>
      <c r="O25" s="17"/>
      <c r="P25" s="17"/>
      <c r="Q25" s="18"/>
      <c r="R25" s="17"/>
      <c r="S25" s="18"/>
      <c r="T25" s="17"/>
      <c r="U25" s="18"/>
      <c r="V25" s="17"/>
      <c r="W25" s="23">
        <f t="shared" si="0"/>
        <v>0</v>
      </c>
    </row>
    <row r="26" spans="1:23">
      <c r="A26" s="4"/>
      <c r="B26" s="25"/>
      <c r="C26" s="49"/>
      <c r="D26" s="49"/>
      <c r="E26" s="5">
        <f t="shared" si="1"/>
        <v>0</v>
      </c>
      <c r="F26" s="5"/>
      <c r="G26" s="48"/>
      <c r="H26" s="6">
        <f t="shared" si="2"/>
        <v>0</v>
      </c>
      <c r="I26" s="7"/>
      <c r="J26" s="16"/>
      <c r="K26" s="17"/>
      <c r="L26" s="17"/>
      <c r="M26" s="17"/>
      <c r="N26" s="17"/>
      <c r="O26" s="17"/>
      <c r="P26" s="17"/>
      <c r="Q26" s="18"/>
      <c r="R26" s="17"/>
      <c r="S26" s="18"/>
      <c r="T26" s="17"/>
      <c r="U26" s="18"/>
      <c r="V26" s="17"/>
      <c r="W26" s="23">
        <f t="shared" si="0"/>
        <v>0</v>
      </c>
    </row>
    <row r="27" spans="1:23">
      <c r="A27" s="4"/>
      <c r="B27" s="25"/>
      <c r="C27" s="49"/>
      <c r="D27" s="49"/>
      <c r="E27" s="5">
        <f t="shared" si="1"/>
        <v>0</v>
      </c>
      <c r="F27" s="5"/>
      <c r="G27" s="46"/>
      <c r="H27" s="6">
        <f t="shared" si="2"/>
        <v>0</v>
      </c>
      <c r="I27" s="7"/>
      <c r="J27" s="16"/>
      <c r="K27" s="17"/>
      <c r="L27" s="17"/>
      <c r="M27" s="17"/>
      <c r="N27" s="17"/>
      <c r="O27" s="17"/>
      <c r="P27" s="17"/>
      <c r="Q27" s="18"/>
      <c r="R27" s="17"/>
      <c r="S27" s="18"/>
      <c r="T27" s="17"/>
      <c r="U27" s="18"/>
      <c r="V27" s="17"/>
      <c r="W27" s="23">
        <f t="shared" si="0"/>
        <v>0</v>
      </c>
    </row>
    <row r="28" spans="1:23">
      <c r="A28" s="4"/>
      <c r="B28" s="25"/>
      <c r="C28" s="49"/>
      <c r="D28" s="49"/>
      <c r="E28" s="5">
        <f t="shared" si="1"/>
        <v>0</v>
      </c>
      <c r="F28" s="5"/>
      <c r="G28" s="46"/>
      <c r="H28" s="6">
        <f t="shared" si="2"/>
        <v>0</v>
      </c>
      <c r="I28" s="7"/>
      <c r="J28" s="16"/>
      <c r="K28" s="17"/>
      <c r="L28" s="17"/>
      <c r="M28" s="17"/>
      <c r="N28" s="17"/>
      <c r="O28" s="17"/>
      <c r="P28" s="17"/>
      <c r="Q28" s="18"/>
      <c r="R28" s="17"/>
      <c r="S28" s="18"/>
      <c r="T28" s="17"/>
      <c r="U28" s="18"/>
      <c r="V28" s="17"/>
      <c r="W28" s="23">
        <f t="shared" si="0"/>
        <v>0</v>
      </c>
    </row>
    <row r="29" spans="1:23">
      <c r="A29" s="4"/>
      <c r="B29" s="25"/>
      <c r="C29" s="49"/>
      <c r="D29" s="49"/>
      <c r="E29" s="5">
        <f t="shared" si="1"/>
        <v>0</v>
      </c>
      <c r="F29" s="5"/>
      <c r="G29" s="46"/>
      <c r="H29" s="6">
        <f t="shared" si="2"/>
        <v>0</v>
      </c>
      <c r="I29" s="7"/>
      <c r="J29" s="16"/>
      <c r="K29" s="17"/>
      <c r="L29" s="17"/>
      <c r="M29" s="17"/>
      <c r="N29" s="17"/>
      <c r="O29" s="17"/>
      <c r="P29" s="17"/>
      <c r="Q29" s="18"/>
      <c r="R29" s="17"/>
      <c r="S29" s="18"/>
      <c r="T29" s="17"/>
      <c r="U29" s="18"/>
      <c r="V29" s="17"/>
      <c r="W29" s="23">
        <f t="shared" si="0"/>
        <v>0</v>
      </c>
    </row>
    <row r="30" spans="1:23">
      <c r="A30" s="4"/>
      <c r="B30" s="25"/>
      <c r="C30" s="49"/>
      <c r="D30" s="49"/>
      <c r="E30" s="5">
        <f t="shared" si="1"/>
        <v>0</v>
      </c>
      <c r="F30" s="5"/>
      <c r="G30" s="46"/>
      <c r="H30" s="6">
        <f t="shared" si="2"/>
        <v>0</v>
      </c>
      <c r="I30" s="7"/>
      <c r="J30" s="16"/>
      <c r="K30" s="17"/>
      <c r="L30" s="17"/>
      <c r="M30" s="17"/>
      <c r="N30" s="17"/>
      <c r="O30" s="17"/>
      <c r="P30" s="17"/>
      <c r="Q30" s="18"/>
      <c r="R30" s="17"/>
      <c r="S30" s="18"/>
      <c r="T30" s="17"/>
      <c r="U30" s="18"/>
      <c r="V30" s="17"/>
      <c r="W30" s="23">
        <f t="shared" si="0"/>
        <v>0</v>
      </c>
    </row>
    <row r="31" spans="1:23">
      <c r="A31" s="4"/>
      <c r="B31" s="25"/>
      <c r="C31" s="49"/>
      <c r="D31" s="49"/>
      <c r="E31" s="5">
        <f t="shared" si="1"/>
        <v>0</v>
      </c>
      <c r="F31" s="5"/>
      <c r="G31" s="46"/>
      <c r="H31" s="6">
        <f>G31+H30</f>
        <v>0</v>
      </c>
      <c r="I31" s="7"/>
      <c r="J31" s="16"/>
      <c r="K31" s="17"/>
      <c r="L31" s="17"/>
      <c r="M31" s="17"/>
      <c r="N31" s="17"/>
      <c r="O31" s="17"/>
      <c r="P31" s="17"/>
      <c r="Q31" s="18"/>
      <c r="R31" s="17"/>
      <c r="S31" s="18"/>
      <c r="T31" s="17"/>
      <c r="U31" s="18"/>
      <c r="V31" s="17"/>
      <c r="W31" s="23">
        <f t="shared" si="0"/>
        <v>0</v>
      </c>
    </row>
    <row r="32" spans="1:23">
      <c r="A32" s="4"/>
      <c r="B32" s="25"/>
      <c r="C32" s="49"/>
      <c r="D32" s="49"/>
      <c r="E32" s="5">
        <f t="shared" si="1"/>
        <v>0</v>
      </c>
      <c r="F32" s="5"/>
      <c r="G32" s="46"/>
      <c r="H32" s="6">
        <f t="shared" si="2"/>
        <v>0</v>
      </c>
      <c r="I32" s="7"/>
      <c r="J32" s="16"/>
      <c r="K32" s="17"/>
      <c r="L32" s="17"/>
      <c r="M32" s="17"/>
      <c r="N32" s="17"/>
      <c r="O32" s="17"/>
      <c r="P32" s="17"/>
      <c r="Q32" s="18"/>
      <c r="R32" s="17"/>
      <c r="S32" s="18"/>
      <c r="T32" s="17"/>
      <c r="U32" s="18"/>
      <c r="V32" s="17"/>
      <c r="W32" s="23">
        <f t="shared" si="0"/>
        <v>0</v>
      </c>
    </row>
    <row r="33" spans="1:23">
      <c r="A33" s="4"/>
      <c r="B33" s="8"/>
      <c r="C33" s="49"/>
      <c r="D33" s="49"/>
      <c r="E33" s="5">
        <f t="shared" si="1"/>
        <v>0</v>
      </c>
      <c r="F33" s="5"/>
      <c r="G33" s="46"/>
      <c r="H33" s="6">
        <f t="shared" si="2"/>
        <v>0</v>
      </c>
      <c r="I33" s="7"/>
      <c r="J33" s="16"/>
      <c r="K33" s="17"/>
      <c r="L33" s="17"/>
      <c r="M33" s="17"/>
      <c r="N33" s="17"/>
      <c r="O33" s="17"/>
      <c r="P33" s="17"/>
      <c r="Q33" s="18"/>
      <c r="R33" s="17"/>
      <c r="S33" s="18"/>
      <c r="T33" s="17"/>
      <c r="U33" s="18"/>
      <c r="V33" s="17"/>
      <c r="W33" s="23">
        <f t="shared" si="0"/>
        <v>0</v>
      </c>
    </row>
    <row r="34" spans="1:23">
      <c r="A34" s="4"/>
      <c r="B34" s="92"/>
      <c r="C34" s="49"/>
      <c r="D34" s="49"/>
      <c r="E34" s="5">
        <f t="shared" si="1"/>
        <v>0</v>
      </c>
      <c r="F34" s="5"/>
      <c r="G34" s="46"/>
      <c r="H34" s="6">
        <f t="shared" si="2"/>
        <v>0</v>
      </c>
      <c r="I34" s="7"/>
      <c r="J34" s="16"/>
      <c r="K34" s="17"/>
      <c r="L34" s="17"/>
      <c r="M34" s="17"/>
      <c r="N34" s="17"/>
      <c r="O34" s="17"/>
      <c r="P34" s="17"/>
      <c r="Q34" s="18"/>
      <c r="R34" s="17"/>
      <c r="S34" s="18"/>
      <c r="T34" s="17"/>
      <c r="U34" s="18"/>
      <c r="V34" s="17"/>
      <c r="W34" s="23">
        <f t="shared" si="0"/>
        <v>0</v>
      </c>
    </row>
    <row r="35" spans="1:23">
      <c r="A35" s="91" t="s">
        <v>150</v>
      </c>
      <c r="B35" s="93">
        <f>SUM(B4:B34)</f>
        <v>0</v>
      </c>
      <c r="C35" s="93">
        <f t="shared" ref="C35:G35" si="3">SUM(C4:C34)</f>
        <v>0</v>
      </c>
      <c r="D35" s="93">
        <f t="shared" si="3"/>
        <v>0</v>
      </c>
      <c r="E35" s="93">
        <f t="shared" si="3"/>
        <v>0</v>
      </c>
      <c r="F35" s="93">
        <f>F34</f>
        <v>0</v>
      </c>
      <c r="G35" s="93">
        <f t="shared" si="3"/>
        <v>0</v>
      </c>
      <c r="H35" s="97">
        <f>H34</f>
        <v>0</v>
      </c>
      <c r="I35" s="12">
        <f>SUM(I4:I34)</f>
        <v>0</v>
      </c>
      <c r="J35" s="12">
        <f>J34</f>
        <v>0</v>
      </c>
      <c r="K35" s="19">
        <f t="shared" ref="K35:W35" si="4">SUM(K4:K34)</f>
        <v>0</v>
      </c>
      <c r="L35" s="19">
        <f t="shared" si="4"/>
        <v>0</v>
      </c>
      <c r="M35" s="19">
        <f t="shared" si="4"/>
        <v>0</v>
      </c>
      <c r="N35" s="19">
        <f t="shared" si="4"/>
        <v>0</v>
      </c>
      <c r="O35" s="19">
        <f t="shared" si="4"/>
        <v>0</v>
      </c>
      <c r="P35" s="19">
        <f t="shared" si="4"/>
        <v>0</v>
      </c>
      <c r="Q35" s="19">
        <f t="shared" si="4"/>
        <v>0</v>
      </c>
      <c r="R35" s="19">
        <f t="shared" si="4"/>
        <v>0</v>
      </c>
      <c r="S35" s="19">
        <f t="shared" si="4"/>
        <v>0</v>
      </c>
      <c r="T35" s="19">
        <f t="shared" si="4"/>
        <v>0</v>
      </c>
      <c r="U35" s="19">
        <f t="shared" si="4"/>
        <v>0</v>
      </c>
      <c r="V35" s="19">
        <f t="shared" si="4"/>
        <v>0</v>
      </c>
      <c r="W35" s="19">
        <f t="shared" si="4"/>
        <v>0</v>
      </c>
    </row>
  </sheetData>
  <mergeCells count="2">
    <mergeCell ref="A1:I1"/>
    <mergeCell ref="J1:W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E12" sqref="E12"/>
    </sheetView>
  </sheetViews>
  <sheetFormatPr defaultColWidth="9.140625" defaultRowHeight="12.75"/>
  <cols>
    <col min="1" max="1" width="22.42578125" customWidth="1"/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2.85546875" customWidth="1"/>
    <col min="10" max="10" width="14" customWidth="1"/>
    <col min="11" max="11" width="13" customWidth="1"/>
  </cols>
  <sheetData>
    <row r="1" spans="1:23" ht="30.95" customHeight="1">
      <c r="A1" s="203"/>
      <c r="B1" s="203"/>
      <c r="C1" s="203"/>
      <c r="D1" s="203"/>
      <c r="E1" s="203"/>
      <c r="F1" s="203"/>
      <c r="G1" s="203"/>
      <c r="H1" s="203"/>
      <c r="I1" s="203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23" ht="51">
      <c r="A3" s="94" t="s">
        <v>130</v>
      </c>
      <c r="B3" s="94" t="s">
        <v>131</v>
      </c>
      <c r="C3" s="94" t="s">
        <v>151</v>
      </c>
      <c r="D3" s="94" t="s">
        <v>132</v>
      </c>
      <c r="E3" s="94" t="s">
        <v>133</v>
      </c>
      <c r="F3" s="94" t="s">
        <v>134</v>
      </c>
      <c r="G3" s="94" t="s">
        <v>135</v>
      </c>
      <c r="H3" s="94" t="s">
        <v>136</v>
      </c>
      <c r="I3" s="94" t="s">
        <v>137</v>
      </c>
      <c r="J3" s="95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3">
      <c r="A4" s="4"/>
      <c r="B4" s="25"/>
      <c r="C4" s="49"/>
      <c r="D4" s="49"/>
      <c r="E4" s="5">
        <f>+B4-D4-C4</f>
        <v>0</v>
      </c>
      <c r="F4" s="5"/>
      <c r="G4" s="46"/>
      <c r="H4" s="6">
        <f>G4</f>
        <v>0</v>
      </c>
      <c r="I4" s="7"/>
      <c r="J4" s="16"/>
      <c r="K4" s="17"/>
      <c r="L4" s="17"/>
      <c r="M4" s="17"/>
      <c r="N4" s="17"/>
      <c r="O4" s="17"/>
      <c r="P4" s="17"/>
      <c r="Q4" s="18"/>
      <c r="R4" s="17"/>
      <c r="S4" s="18"/>
      <c r="T4" s="17"/>
      <c r="U4" s="18"/>
      <c r="V4" s="17"/>
      <c r="W4" s="23">
        <f t="shared" ref="W4:W34" si="0">SUM(K4:V4)</f>
        <v>0</v>
      </c>
    </row>
    <row r="5" spans="1:23">
      <c r="A5" s="4"/>
      <c r="B5" s="25"/>
      <c r="C5" s="49"/>
      <c r="D5" s="49"/>
      <c r="E5" s="5">
        <f t="shared" ref="E5:E34" si="1">+B5-D5-C5</f>
        <v>0</v>
      </c>
      <c r="F5" s="5"/>
      <c r="G5" s="46"/>
      <c r="H5" s="6">
        <f>G5+H4</f>
        <v>0</v>
      </c>
      <c r="I5" s="7"/>
      <c r="J5" s="16"/>
      <c r="K5" s="17"/>
      <c r="L5" s="17"/>
      <c r="M5" s="17"/>
      <c r="N5" s="17"/>
      <c r="O5" s="17"/>
      <c r="P5" s="17"/>
      <c r="Q5" s="18"/>
      <c r="R5" s="17"/>
      <c r="S5" s="18"/>
      <c r="T5" s="17"/>
      <c r="U5" s="18"/>
      <c r="V5" s="17"/>
      <c r="W5" s="23">
        <f t="shared" si="0"/>
        <v>0</v>
      </c>
    </row>
    <row r="6" spans="1:23">
      <c r="A6" s="4"/>
      <c r="B6" s="25"/>
      <c r="C6" s="49"/>
      <c r="D6" s="49"/>
      <c r="E6" s="5">
        <f t="shared" si="1"/>
        <v>0</v>
      </c>
      <c r="F6" s="5"/>
      <c r="G6" s="46"/>
      <c r="H6" s="6">
        <f>G6+H5</f>
        <v>0</v>
      </c>
      <c r="I6" s="7"/>
      <c r="J6" s="16"/>
      <c r="K6" s="17"/>
      <c r="L6" s="17"/>
      <c r="M6" s="17"/>
      <c r="N6" s="17"/>
      <c r="O6" s="17"/>
      <c r="P6" s="17"/>
      <c r="Q6" s="18"/>
      <c r="R6" s="17"/>
      <c r="S6" s="18"/>
      <c r="T6" s="17"/>
      <c r="U6" s="18"/>
      <c r="V6" s="17"/>
      <c r="W6" s="23">
        <f t="shared" si="0"/>
        <v>0</v>
      </c>
    </row>
    <row r="7" spans="1:23">
      <c r="A7" s="4"/>
      <c r="B7" s="25"/>
      <c r="C7" s="49"/>
      <c r="D7" s="49"/>
      <c r="E7" s="5">
        <f t="shared" si="1"/>
        <v>0</v>
      </c>
      <c r="F7" s="5"/>
      <c r="G7" s="46"/>
      <c r="H7" s="6">
        <f t="shared" ref="H7:H34" si="2">G7+H6</f>
        <v>0</v>
      </c>
      <c r="I7" s="7"/>
      <c r="J7" s="16"/>
      <c r="K7" s="17"/>
      <c r="L7" s="17"/>
      <c r="M7" s="17"/>
      <c r="N7" s="17"/>
      <c r="O7" s="17"/>
      <c r="P7" s="17"/>
      <c r="Q7" s="18"/>
      <c r="R7" s="17"/>
      <c r="S7" s="18"/>
      <c r="T7" s="17"/>
      <c r="U7" s="18"/>
      <c r="V7" s="17"/>
      <c r="W7" s="23">
        <f t="shared" si="0"/>
        <v>0</v>
      </c>
    </row>
    <row r="8" spans="1:23">
      <c r="A8" s="4"/>
      <c r="B8" s="25"/>
      <c r="C8" s="49"/>
      <c r="D8" s="49"/>
      <c r="E8" s="5">
        <f t="shared" si="1"/>
        <v>0</v>
      </c>
      <c r="F8" s="5"/>
      <c r="G8" s="46"/>
      <c r="H8" s="6">
        <f t="shared" si="2"/>
        <v>0</v>
      </c>
      <c r="I8" s="7"/>
      <c r="J8" s="16"/>
      <c r="K8" s="17"/>
      <c r="L8" s="17"/>
      <c r="M8" s="17"/>
      <c r="N8" s="17"/>
      <c r="O8" s="17"/>
      <c r="P8" s="17"/>
      <c r="Q8" s="18"/>
      <c r="R8" s="17"/>
      <c r="S8" s="18"/>
      <c r="T8" s="17"/>
      <c r="U8" s="18"/>
      <c r="V8" s="17"/>
      <c r="W8" s="23">
        <f t="shared" si="0"/>
        <v>0</v>
      </c>
    </row>
    <row r="9" spans="1:23">
      <c r="A9" s="4"/>
      <c r="B9" s="25"/>
      <c r="C9" s="49"/>
      <c r="D9" s="49"/>
      <c r="E9" s="5">
        <f t="shared" si="1"/>
        <v>0</v>
      </c>
      <c r="F9" s="5"/>
      <c r="G9" s="46"/>
      <c r="H9" s="6">
        <f t="shared" si="2"/>
        <v>0</v>
      </c>
      <c r="I9" s="7"/>
      <c r="J9" s="16"/>
      <c r="K9" s="17"/>
      <c r="L9" s="17"/>
      <c r="M9" s="17"/>
      <c r="N9" s="17"/>
      <c r="O9" s="17"/>
      <c r="P9" s="17"/>
      <c r="Q9" s="18"/>
      <c r="R9" s="17"/>
      <c r="S9" s="18"/>
      <c r="T9" s="17"/>
      <c r="U9" s="18"/>
      <c r="V9" s="17"/>
      <c r="W9" s="23">
        <f t="shared" si="0"/>
        <v>0</v>
      </c>
    </row>
    <row r="10" spans="1:23">
      <c r="A10" s="4"/>
      <c r="B10" s="25"/>
      <c r="C10" s="49"/>
      <c r="D10" s="49"/>
      <c r="E10" s="5">
        <f t="shared" si="1"/>
        <v>0</v>
      </c>
      <c r="F10" s="5"/>
      <c r="G10" s="46"/>
      <c r="H10" s="6">
        <f t="shared" si="2"/>
        <v>0</v>
      </c>
      <c r="I10" s="7"/>
      <c r="J10" s="16"/>
      <c r="K10" s="17"/>
      <c r="L10" s="17"/>
      <c r="M10" s="17"/>
      <c r="N10" s="17"/>
      <c r="O10" s="17"/>
      <c r="P10" s="17"/>
      <c r="Q10" s="18"/>
      <c r="R10" s="17"/>
      <c r="S10" s="18"/>
      <c r="T10" s="17"/>
      <c r="U10" s="18"/>
      <c r="V10" s="17"/>
      <c r="W10" s="23">
        <f t="shared" si="0"/>
        <v>0</v>
      </c>
    </row>
    <row r="11" spans="1:23">
      <c r="A11" s="4"/>
      <c r="B11" s="26"/>
      <c r="C11" s="49"/>
      <c r="D11" s="49"/>
      <c r="E11" s="5">
        <f t="shared" si="1"/>
        <v>0</v>
      </c>
      <c r="F11" s="5"/>
      <c r="G11" s="46"/>
      <c r="H11" s="6">
        <f t="shared" si="2"/>
        <v>0</v>
      </c>
      <c r="I11" s="7"/>
      <c r="J11" s="16"/>
      <c r="K11" s="17"/>
      <c r="L11" s="17"/>
      <c r="M11" s="17"/>
      <c r="N11" s="17"/>
      <c r="O11" s="17"/>
      <c r="P11" s="17"/>
      <c r="Q11" s="18"/>
      <c r="R11" s="17"/>
      <c r="S11" s="18"/>
      <c r="T11" s="17"/>
      <c r="U11" s="18"/>
      <c r="V11" s="17"/>
      <c r="W11" s="23">
        <f t="shared" si="0"/>
        <v>0</v>
      </c>
    </row>
    <row r="12" spans="1:23">
      <c r="A12" s="4"/>
      <c r="B12" s="25"/>
      <c r="C12" s="49"/>
      <c r="D12" s="49"/>
      <c r="E12" s="5">
        <f t="shared" si="1"/>
        <v>0</v>
      </c>
      <c r="F12" s="5"/>
      <c r="G12" s="46"/>
      <c r="H12" s="6">
        <f t="shared" si="2"/>
        <v>0</v>
      </c>
      <c r="I12" s="7"/>
      <c r="J12" s="16"/>
      <c r="K12" s="17"/>
      <c r="L12" s="17"/>
      <c r="M12" s="17"/>
      <c r="N12" s="17"/>
      <c r="O12" s="17"/>
      <c r="P12" s="17"/>
      <c r="Q12" s="18"/>
      <c r="R12" s="17"/>
      <c r="S12" s="18"/>
      <c r="T12" s="17"/>
      <c r="U12" s="18"/>
      <c r="V12" s="17"/>
      <c r="W12" s="23">
        <f t="shared" si="0"/>
        <v>0</v>
      </c>
    </row>
    <row r="13" spans="1:23">
      <c r="A13" s="4"/>
      <c r="B13" s="9"/>
      <c r="C13" s="49"/>
      <c r="D13" s="49"/>
      <c r="E13" s="5">
        <f t="shared" si="1"/>
        <v>0</v>
      </c>
      <c r="F13" s="5"/>
      <c r="G13" s="46"/>
      <c r="H13" s="6">
        <f t="shared" si="2"/>
        <v>0</v>
      </c>
      <c r="I13" s="7"/>
      <c r="J13" s="16"/>
      <c r="K13" s="17"/>
      <c r="L13" s="17"/>
      <c r="M13" s="17"/>
      <c r="N13" s="17"/>
      <c r="O13" s="17"/>
      <c r="P13" s="17"/>
      <c r="Q13" s="18"/>
      <c r="R13" s="17"/>
      <c r="S13" s="18"/>
      <c r="T13" s="17"/>
      <c r="U13" s="18"/>
      <c r="V13" s="17"/>
      <c r="W13" s="23">
        <f t="shared" si="0"/>
        <v>0</v>
      </c>
    </row>
    <row r="14" spans="1:23">
      <c r="A14" s="4"/>
      <c r="B14" s="9"/>
      <c r="C14" s="49"/>
      <c r="D14" s="49"/>
      <c r="E14" s="5">
        <f t="shared" si="1"/>
        <v>0</v>
      </c>
      <c r="F14" s="5"/>
      <c r="G14" s="46"/>
      <c r="H14" s="6">
        <f t="shared" si="2"/>
        <v>0</v>
      </c>
      <c r="I14" s="7"/>
      <c r="J14" s="16"/>
      <c r="K14" s="17"/>
      <c r="L14" s="17"/>
      <c r="M14" s="17"/>
      <c r="N14" s="17"/>
      <c r="O14" s="17"/>
      <c r="P14" s="17"/>
      <c r="Q14" s="18"/>
      <c r="R14" s="17"/>
      <c r="S14" s="18"/>
      <c r="T14" s="17"/>
      <c r="U14" s="18"/>
      <c r="V14" s="17"/>
      <c r="W14" s="23">
        <f t="shared" si="0"/>
        <v>0</v>
      </c>
    </row>
    <row r="15" spans="1:23">
      <c r="A15" s="4"/>
      <c r="B15" s="10"/>
      <c r="C15" s="49"/>
      <c r="D15" s="49"/>
      <c r="E15" s="5">
        <f t="shared" si="1"/>
        <v>0</v>
      </c>
      <c r="F15" s="5"/>
      <c r="G15" s="46"/>
      <c r="H15" s="6">
        <f t="shared" si="2"/>
        <v>0</v>
      </c>
      <c r="I15" s="7"/>
      <c r="J15" s="16"/>
      <c r="K15" s="17"/>
      <c r="L15" s="17"/>
      <c r="M15" s="17"/>
      <c r="N15" s="17"/>
      <c r="O15" s="17"/>
      <c r="P15" s="17"/>
      <c r="Q15" s="18"/>
      <c r="R15" s="17"/>
      <c r="S15" s="18"/>
      <c r="T15" s="17"/>
      <c r="U15" s="18"/>
      <c r="V15" s="17"/>
      <c r="W15" s="23">
        <f t="shared" si="0"/>
        <v>0</v>
      </c>
    </row>
    <row r="16" spans="1:23">
      <c r="A16" s="4"/>
      <c r="B16" s="25"/>
      <c r="C16" s="49"/>
      <c r="D16" s="49"/>
      <c r="E16" s="5">
        <f t="shared" si="1"/>
        <v>0</v>
      </c>
      <c r="F16" s="5"/>
      <c r="G16" s="46"/>
      <c r="H16" s="6">
        <f t="shared" si="2"/>
        <v>0</v>
      </c>
      <c r="I16" s="7"/>
      <c r="J16" s="16"/>
      <c r="K16" s="17"/>
      <c r="L16" s="17"/>
      <c r="M16" s="17"/>
      <c r="N16" s="17"/>
      <c r="O16" s="17"/>
      <c r="P16" s="17"/>
      <c r="Q16" s="18"/>
      <c r="R16" s="17"/>
      <c r="S16" s="18"/>
      <c r="T16" s="17"/>
      <c r="U16" s="18"/>
      <c r="V16" s="17"/>
      <c r="W16" s="23">
        <f t="shared" si="0"/>
        <v>0</v>
      </c>
    </row>
    <row r="17" spans="1:23">
      <c r="A17" s="4"/>
      <c r="B17" s="25"/>
      <c r="C17" s="49"/>
      <c r="D17" s="49"/>
      <c r="E17" s="5">
        <f t="shared" si="1"/>
        <v>0</v>
      </c>
      <c r="F17" s="5"/>
      <c r="G17" s="46"/>
      <c r="H17" s="6">
        <f t="shared" si="2"/>
        <v>0</v>
      </c>
      <c r="I17" s="7"/>
      <c r="J17" s="16"/>
      <c r="K17" s="17"/>
      <c r="L17" s="17"/>
      <c r="M17" s="17"/>
      <c r="N17" s="17"/>
      <c r="O17" s="17"/>
      <c r="P17" s="17"/>
      <c r="Q17" s="18"/>
      <c r="R17" s="17"/>
      <c r="S17" s="18"/>
      <c r="T17" s="17"/>
      <c r="U17" s="18"/>
      <c r="V17" s="17"/>
      <c r="W17" s="23">
        <f t="shared" si="0"/>
        <v>0</v>
      </c>
    </row>
    <row r="18" spans="1:23">
      <c r="A18" s="4"/>
      <c r="B18" s="25"/>
      <c r="C18" s="49"/>
      <c r="D18" s="49"/>
      <c r="E18" s="5">
        <f t="shared" si="1"/>
        <v>0</v>
      </c>
      <c r="F18" s="5"/>
      <c r="G18" s="46"/>
      <c r="H18" s="6">
        <f t="shared" si="2"/>
        <v>0</v>
      </c>
      <c r="I18" s="7"/>
      <c r="J18" s="16"/>
      <c r="K18" s="17"/>
      <c r="L18" s="17"/>
      <c r="M18" s="17"/>
      <c r="N18" s="17"/>
      <c r="O18" s="17"/>
      <c r="P18" s="17"/>
      <c r="Q18" s="18"/>
      <c r="R18" s="17"/>
      <c r="S18" s="18"/>
      <c r="T18" s="17"/>
      <c r="U18" s="18"/>
      <c r="V18" s="17"/>
      <c r="W18" s="23">
        <f t="shared" si="0"/>
        <v>0</v>
      </c>
    </row>
    <row r="19" spans="1:23">
      <c r="A19" s="4"/>
      <c r="B19" s="25"/>
      <c r="C19" s="49"/>
      <c r="D19" s="49"/>
      <c r="E19" s="5">
        <f t="shared" si="1"/>
        <v>0</v>
      </c>
      <c r="F19" s="5"/>
      <c r="G19" s="46"/>
      <c r="H19" s="6">
        <f t="shared" si="2"/>
        <v>0</v>
      </c>
      <c r="I19" s="7"/>
      <c r="J19" s="16"/>
      <c r="K19" s="17"/>
      <c r="L19" s="17"/>
      <c r="M19" s="17"/>
      <c r="N19" s="17"/>
      <c r="O19" s="17"/>
      <c r="P19" s="17"/>
      <c r="Q19" s="18"/>
      <c r="R19" s="17"/>
      <c r="S19" s="18"/>
      <c r="T19" s="17"/>
      <c r="U19" s="18"/>
      <c r="V19" s="17"/>
      <c r="W19" s="23">
        <f t="shared" si="0"/>
        <v>0</v>
      </c>
    </row>
    <row r="20" spans="1:23">
      <c r="A20" s="4"/>
      <c r="B20" s="25"/>
      <c r="C20" s="49"/>
      <c r="D20" s="49"/>
      <c r="E20" s="5">
        <f t="shared" si="1"/>
        <v>0</v>
      </c>
      <c r="F20" s="5"/>
      <c r="G20" s="46"/>
      <c r="H20" s="6">
        <f t="shared" si="2"/>
        <v>0</v>
      </c>
      <c r="I20" s="7"/>
      <c r="J20" s="16"/>
      <c r="K20" s="17"/>
      <c r="L20" s="17"/>
      <c r="M20" s="17"/>
      <c r="N20" s="17"/>
      <c r="O20" s="17"/>
      <c r="P20" s="17"/>
      <c r="Q20" s="18"/>
      <c r="R20" s="17"/>
      <c r="S20" s="18"/>
      <c r="T20" s="17"/>
      <c r="U20" s="18"/>
      <c r="V20" s="17"/>
      <c r="W20" s="23">
        <f t="shared" si="0"/>
        <v>0</v>
      </c>
    </row>
    <row r="21" spans="1:23">
      <c r="A21" s="4"/>
      <c r="B21" s="50"/>
      <c r="C21" s="49"/>
      <c r="D21" s="49"/>
      <c r="E21" s="5">
        <f t="shared" si="1"/>
        <v>0</v>
      </c>
      <c r="F21" s="5"/>
      <c r="G21" s="47"/>
      <c r="H21" s="6">
        <f t="shared" si="2"/>
        <v>0</v>
      </c>
      <c r="I21" s="7"/>
      <c r="J21" s="16"/>
      <c r="K21" s="17"/>
      <c r="L21" s="17"/>
      <c r="M21" s="17"/>
      <c r="N21" s="17"/>
      <c r="O21" s="17"/>
      <c r="P21" s="17"/>
      <c r="Q21" s="18"/>
      <c r="R21" s="17"/>
      <c r="S21" s="18"/>
      <c r="T21" s="17"/>
      <c r="U21" s="18"/>
      <c r="V21" s="17"/>
      <c r="W21" s="23">
        <f t="shared" si="0"/>
        <v>0</v>
      </c>
    </row>
    <row r="22" spans="1:23">
      <c r="A22" s="4"/>
      <c r="B22" s="25"/>
      <c r="C22" s="49"/>
      <c r="D22" s="49"/>
      <c r="E22" s="5">
        <f t="shared" si="1"/>
        <v>0</v>
      </c>
      <c r="F22" s="5"/>
      <c r="G22" s="46"/>
      <c r="H22" s="6">
        <f t="shared" si="2"/>
        <v>0</v>
      </c>
      <c r="I22" s="7"/>
      <c r="J22" s="16"/>
      <c r="K22" s="17"/>
      <c r="L22" s="17"/>
      <c r="M22" s="17"/>
      <c r="N22" s="17"/>
      <c r="O22" s="17"/>
      <c r="P22" s="17"/>
      <c r="Q22" s="18"/>
      <c r="R22" s="17"/>
      <c r="S22" s="18"/>
      <c r="T22" s="17"/>
      <c r="U22" s="18"/>
      <c r="V22" s="17"/>
      <c r="W22" s="23">
        <f t="shared" si="0"/>
        <v>0</v>
      </c>
    </row>
    <row r="23" spans="1:23">
      <c r="A23" s="4"/>
      <c r="B23" s="25"/>
      <c r="C23" s="49"/>
      <c r="D23" s="49"/>
      <c r="E23" s="5">
        <f t="shared" si="1"/>
        <v>0</v>
      </c>
      <c r="F23" s="5"/>
      <c r="G23" s="46"/>
      <c r="H23" s="6">
        <f t="shared" si="2"/>
        <v>0</v>
      </c>
      <c r="I23" s="7"/>
      <c r="J23" s="16"/>
      <c r="K23" s="17"/>
      <c r="L23" s="17"/>
      <c r="M23" s="17"/>
      <c r="N23" s="17"/>
      <c r="O23" s="17"/>
      <c r="P23" s="17"/>
      <c r="Q23" s="18"/>
      <c r="R23" s="17"/>
      <c r="S23" s="18"/>
      <c r="T23" s="17"/>
      <c r="U23" s="18"/>
      <c r="V23" s="17"/>
      <c r="W23" s="23">
        <f t="shared" si="0"/>
        <v>0</v>
      </c>
    </row>
    <row r="24" spans="1:23">
      <c r="A24" s="4"/>
      <c r="B24" s="25"/>
      <c r="C24" s="49"/>
      <c r="D24" s="49"/>
      <c r="E24" s="5">
        <f t="shared" si="1"/>
        <v>0</v>
      </c>
      <c r="F24" s="5"/>
      <c r="G24" s="46"/>
      <c r="H24" s="6">
        <f t="shared" si="2"/>
        <v>0</v>
      </c>
      <c r="I24" s="7"/>
      <c r="J24" s="16"/>
      <c r="K24" s="17"/>
      <c r="L24" s="17"/>
      <c r="M24" s="17"/>
      <c r="N24" s="17"/>
      <c r="O24" s="17"/>
      <c r="P24" s="17"/>
      <c r="Q24" s="18"/>
      <c r="R24" s="17"/>
      <c r="S24" s="18"/>
      <c r="T24" s="17"/>
      <c r="U24" s="18"/>
      <c r="V24" s="17"/>
      <c r="W24" s="23">
        <f t="shared" si="0"/>
        <v>0</v>
      </c>
    </row>
    <row r="25" spans="1:23">
      <c r="A25" s="4"/>
      <c r="B25" s="25"/>
      <c r="C25" s="49"/>
      <c r="D25" s="49"/>
      <c r="E25" s="5">
        <f t="shared" si="1"/>
        <v>0</v>
      </c>
      <c r="F25" s="5"/>
      <c r="G25" s="46"/>
      <c r="H25" s="6">
        <f t="shared" si="2"/>
        <v>0</v>
      </c>
      <c r="I25" s="7"/>
      <c r="J25" s="16"/>
      <c r="K25" s="17"/>
      <c r="L25" s="17"/>
      <c r="M25" s="17"/>
      <c r="N25" s="17"/>
      <c r="O25" s="17"/>
      <c r="P25" s="17"/>
      <c r="Q25" s="18"/>
      <c r="R25" s="17"/>
      <c r="S25" s="18"/>
      <c r="T25" s="17"/>
      <c r="U25" s="18"/>
      <c r="V25" s="17"/>
      <c r="W25" s="23">
        <f t="shared" si="0"/>
        <v>0</v>
      </c>
    </row>
    <row r="26" spans="1:23">
      <c r="A26" s="4"/>
      <c r="B26" s="25"/>
      <c r="C26" s="49"/>
      <c r="D26" s="49"/>
      <c r="E26" s="5">
        <f t="shared" si="1"/>
        <v>0</v>
      </c>
      <c r="F26" s="5"/>
      <c r="G26" s="48"/>
      <c r="H26" s="6">
        <f t="shared" si="2"/>
        <v>0</v>
      </c>
      <c r="I26" s="7"/>
      <c r="J26" s="16"/>
      <c r="K26" s="17"/>
      <c r="L26" s="17"/>
      <c r="M26" s="17"/>
      <c r="N26" s="17"/>
      <c r="O26" s="17"/>
      <c r="P26" s="17"/>
      <c r="Q26" s="18"/>
      <c r="R26" s="17"/>
      <c r="S26" s="18"/>
      <c r="T26" s="17"/>
      <c r="U26" s="18"/>
      <c r="V26" s="17"/>
      <c r="W26" s="23">
        <f t="shared" si="0"/>
        <v>0</v>
      </c>
    </row>
    <row r="27" spans="1:23">
      <c r="A27" s="4"/>
      <c r="B27" s="25"/>
      <c r="C27" s="49"/>
      <c r="D27" s="49"/>
      <c r="E27" s="5">
        <f t="shared" si="1"/>
        <v>0</v>
      </c>
      <c r="F27" s="5"/>
      <c r="G27" s="46"/>
      <c r="H27" s="6">
        <f t="shared" si="2"/>
        <v>0</v>
      </c>
      <c r="I27" s="7"/>
      <c r="J27" s="16"/>
      <c r="K27" s="17"/>
      <c r="L27" s="17"/>
      <c r="M27" s="17"/>
      <c r="N27" s="17"/>
      <c r="O27" s="17"/>
      <c r="P27" s="17"/>
      <c r="Q27" s="18"/>
      <c r="R27" s="17"/>
      <c r="S27" s="18"/>
      <c r="T27" s="17"/>
      <c r="U27" s="18"/>
      <c r="V27" s="17"/>
      <c r="W27" s="23">
        <f t="shared" si="0"/>
        <v>0</v>
      </c>
    </row>
    <row r="28" spans="1:23">
      <c r="A28" s="4"/>
      <c r="B28" s="25"/>
      <c r="C28" s="49"/>
      <c r="D28" s="49"/>
      <c r="E28" s="5">
        <f t="shared" si="1"/>
        <v>0</v>
      </c>
      <c r="F28" s="5"/>
      <c r="G28" s="46"/>
      <c r="H28" s="6">
        <f t="shared" si="2"/>
        <v>0</v>
      </c>
      <c r="I28" s="7"/>
      <c r="J28" s="16"/>
      <c r="K28" s="17"/>
      <c r="L28" s="17"/>
      <c r="M28" s="17"/>
      <c r="N28" s="17"/>
      <c r="O28" s="17"/>
      <c r="P28" s="17"/>
      <c r="Q28" s="18"/>
      <c r="R28" s="17"/>
      <c r="S28" s="18"/>
      <c r="T28" s="17"/>
      <c r="U28" s="18"/>
      <c r="V28" s="17"/>
      <c r="W28" s="23">
        <f t="shared" si="0"/>
        <v>0</v>
      </c>
    </row>
    <row r="29" spans="1:23">
      <c r="A29" s="4"/>
      <c r="B29" s="25"/>
      <c r="C29" s="49"/>
      <c r="D29" s="49"/>
      <c r="E29" s="5">
        <f t="shared" si="1"/>
        <v>0</v>
      </c>
      <c r="F29" s="5"/>
      <c r="G29" s="46"/>
      <c r="H29" s="6">
        <f t="shared" si="2"/>
        <v>0</v>
      </c>
      <c r="I29" s="7"/>
      <c r="J29" s="16"/>
      <c r="K29" s="17"/>
      <c r="L29" s="17"/>
      <c r="M29" s="17"/>
      <c r="N29" s="17"/>
      <c r="O29" s="17"/>
      <c r="P29" s="17"/>
      <c r="Q29" s="18"/>
      <c r="R29" s="17"/>
      <c r="S29" s="18"/>
      <c r="T29" s="17"/>
      <c r="U29" s="18"/>
      <c r="V29" s="17"/>
      <c r="W29" s="23">
        <f t="shared" si="0"/>
        <v>0</v>
      </c>
    </row>
    <row r="30" spans="1:23">
      <c r="A30" s="4"/>
      <c r="B30" s="25"/>
      <c r="C30" s="49"/>
      <c r="D30" s="49"/>
      <c r="E30" s="5">
        <f t="shared" si="1"/>
        <v>0</v>
      </c>
      <c r="F30" s="5"/>
      <c r="G30" s="46"/>
      <c r="H30" s="6">
        <f t="shared" si="2"/>
        <v>0</v>
      </c>
      <c r="I30" s="7"/>
      <c r="J30" s="16"/>
      <c r="K30" s="17"/>
      <c r="L30" s="17"/>
      <c r="M30" s="17"/>
      <c r="N30" s="17"/>
      <c r="O30" s="17"/>
      <c r="P30" s="17"/>
      <c r="Q30" s="18"/>
      <c r="R30" s="17"/>
      <c r="S30" s="18"/>
      <c r="T30" s="17"/>
      <c r="U30" s="18"/>
      <c r="V30" s="17"/>
      <c r="W30" s="23">
        <f t="shared" si="0"/>
        <v>0</v>
      </c>
    </row>
    <row r="31" spans="1:23">
      <c r="A31" s="4"/>
      <c r="B31" s="25"/>
      <c r="C31" s="49"/>
      <c r="D31" s="49"/>
      <c r="E31" s="5">
        <f t="shared" si="1"/>
        <v>0</v>
      </c>
      <c r="F31" s="5"/>
      <c r="G31" s="46"/>
      <c r="H31" s="6">
        <f>G31+H30</f>
        <v>0</v>
      </c>
      <c r="I31" s="7"/>
      <c r="J31" s="16"/>
      <c r="K31" s="17"/>
      <c r="L31" s="17"/>
      <c r="M31" s="17"/>
      <c r="N31" s="17"/>
      <c r="O31" s="17"/>
      <c r="P31" s="17"/>
      <c r="Q31" s="18"/>
      <c r="R31" s="17"/>
      <c r="S31" s="18"/>
      <c r="T31" s="17"/>
      <c r="U31" s="18"/>
      <c r="V31" s="17"/>
      <c r="W31" s="23">
        <f t="shared" si="0"/>
        <v>0</v>
      </c>
    </row>
    <row r="32" spans="1:23">
      <c r="A32" s="4"/>
      <c r="B32" s="25"/>
      <c r="C32" s="49"/>
      <c r="D32" s="49"/>
      <c r="E32" s="5">
        <f t="shared" si="1"/>
        <v>0</v>
      </c>
      <c r="F32" s="5"/>
      <c r="G32" s="46"/>
      <c r="H32" s="6">
        <f t="shared" si="2"/>
        <v>0</v>
      </c>
      <c r="I32" s="7"/>
      <c r="J32" s="16"/>
      <c r="K32" s="17"/>
      <c r="L32" s="17"/>
      <c r="M32" s="17"/>
      <c r="N32" s="17"/>
      <c r="O32" s="17"/>
      <c r="P32" s="17"/>
      <c r="Q32" s="18"/>
      <c r="R32" s="17"/>
      <c r="S32" s="18"/>
      <c r="T32" s="17"/>
      <c r="U32" s="18"/>
      <c r="V32" s="17"/>
      <c r="W32" s="23">
        <f t="shared" si="0"/>
        <v>0</v>
      </c>
    </row>
    <row r="33" spans="1:23">
      <c r="A33" s="4"/>
      <c r="B33" s="8"/>
      <c r="C33" s="49"/>
      <c r="D33" s="49"/>
      <c r="E33" s="5">
        <f t="shared" si="1"/>
        <v>0</v>
      </c>
      <c r="F33" s="5"/>
      <c r="G33" s="46"/>
      <c r="H33" s="6">
        <f t="shared" si="2"/>
        <v>0</v>
      </c>
      <c r="I33" s="7"/>
      <c r="J33" s="16"/>
      <c r="K33" s="17"/>
      <c r="L33" s="17"/>
      <c r="M33" s="17"/>
      <c r="N33" s="17"/>
      <c r="O33" s="17"/>
      <c r="P33" s="17"/>
      <c r="Q33" s="18"/>
      <c r="R33" s="17"/>
      <c r="S33" s="18"/>
      <c r="T33" s="17"/>
      <c r="U33" s="18"/>
      <c r="V33" s="17"/>
      <c r="W33" s="23">
        <f t="shared" si="0"/>
        <v>0</v>
      </c>
    </row>
    <row r="34" spans="1:23">
      <c r="A34" s="4"/>
      <c r="B34" s="92"/>
      <c r="C34" s="49"/>
      <c r="D34" s="49"/>
      <c r="E34" s="5">
        <f t="shared" si="1"/>
        <v>0</v>
      </c>
      <c r="F34" s="5"/>
      <c r="G34" s="46"/>
      <c r="H34" s="6">
        <f t="shared" si="2"/>
        <v>0</v>
      </c>
      <c r="I34" s="7"/>
      <c r="J34" s="16"/>
      <c r="K34" s="17"/>
      <c r="L34" s="17"/>
      <c r="M34" s="17"/>
      <c r="N34" s="17"/>
      <c r="O34" s="17"/>
      <c r="P34" s="17"/>
      <c r="Q34" s="18"/>
      <c r="R34" s="17"/>
      <c r="S34" s="18"/>
      <c r="T34" s="17"/>
      <c r="U34" s="18"/>
      <c r="V34" s="17"/>
      <c r="W34" s="23">
        <f t="shared" si="0"/>
        <v>0</v>
      </c>
    </row>
    <row r="35" spans="1:23">
      <c r="A35" s="91" t="s">
        <v>150</v>
      </c>
      <c r="B35" s="93">
        <f>SUM(B4:B34)</f>
        <v>0</v>
      </c>
      <c r="C35" s="93">
        <f t="shared" ref="C35:G35" si="3">SUM(C4:C34)</f>
        <v>0</v>
      </c>
      <c r="D35" s="93">
        <f t="shared" si="3"/>
        <v>0</v>
      </c>
      <c r="E35" s="93">
        <f t="shared" si="3"/>
        <v>0</v>
      </c>
      <c r="F35" s="93">
        <f>F34</f>
        <v>0</v>
      </c>
      <c r="G35" s="93">
        <f t="shared" si="3"/>
        <v>0</v>
      </c>
      <c r="H35" s="97">
        <f>H34</f>
        <v>0</v>
      </c>
      <c r="I35" s="12">
        <f>SUM(I4:I34)</f>
        <v>0</v>
      </c>
      <c r="J35" s="12">
        <f>J34</f>
        <v>0</v>
      </c>
      <c r="K35" s="19">
        <f t="shared" ref="K35:W35" si="4">SUM(K4:K34)</f>
        <v>0</v>
      </c>
      <c r="L35" s="19">
        <f t="shared" si="4"/>
        <v>0</v>
      </c>
      <c r="M35" s="19">
        <f t="shared" si="4"/>
        <v>0</v>
      </c>
      <c r="N35" s="19">
        <f t="shared" si="4"/>
        <v>0</v>
      </c>
      <c r="O35" s="19">
        <f t="shared" si="4"/>
        <v>0</v>
      </c>
      <c r="P35" s="19">
        <f t="shared" si="4"/>
        <v>0</v>
      </c>
      <c r="Q35" s="19">
        <f t="shared" si="4"/>
        <v>0</v>
      </c>
      <c r="R35" s="19">
        <f t="shared" si="4"/>
        <v>0</v>
      </c>
      <c r="S35" s="19">
        <f t="shared" si="4"/>
        <v>0</v>
      </c>
      <c r="T35" s="19">
        <f t="shared" si="4"/>
        <v>0</v>
      </c>
      <c r="U35" s="19">
        <f t="shared" si="4"/>
        <v>0</v>
      </c>
      <c r="V35" s="19">
        <f t="shared" si="4"/>
        <v>0</v>
      </c>
      <c r="W35" s="19">
        <f t="shared" si="4"/>
        <v>0</v>
      </c>
    </row>
  </sheetData>
  <mergeCells count="2">
    <mergeCell ref="A1:I1"/>
    <mergeCell ref="J1:W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F23" sqref="F23"/>
    </sheetView>
  </sheetViews>
  <sheetFormatPr defaultColWidth="9.140625" defaultRowHeight="12.75"/>
  <cols>
    <col min="1" max="1" width="22.42578125" customWidth="1"/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2.85546875" customWidth="1"/>
    <col min="10" max="10" width="14" customWidth="1"/>
    <col min="11" max="11" width="13" customWidth="1"/>
  </cols>
  <sheetData>
    <row r="1" spans="1:23" ht="30.95" customHeight="1">
      <c r="A1" s="203"/>
      <c r="B1" s="203"/>
      <c r="C1" s="203"/>
      <c r="D1" s="203"/>
      <c r="E1" s="203"/>
      <c r="F1" s="203"/>
      <c r="G1" s="203"/>
      <c r="H1" s="203"/>
      <c r="I1" s="203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23" ht="51">
      <c r="A3" s="94" t="s">
        <v>130</v>
      </c>
      <c r="B3" s="94" t="s">
        <v>131</v>
      </c>
      <c r="C3" s="94" t="s">
        <v>151</v>
      </c>
      <c r="D3" s="94" t="s">
        <v>132</v>
      </c>
      <c r="E3" s="94" t="s">
        <v>133</v>
      </c>
      <c r="F3" s="94" t="s">
        <v>134</v>
      </c>
      <c r="G3" s="94" t="s">
        <v>135</v>
      </c>
      <c r="H3" s="94" t="s">
        <v>136</v>
      </c>
      <c r="I3" s="94" t="s">
        <v>137</v>
      </c>
      <c r="J3" s="95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3">
      <c r="A4" s="4"/>
      <c r="B4" s="25"/>
      <c r="C4" s="49"/>
      <c r="D4" s="49"/>
      <c r="E4" s="5">
        <f>+B4-D4-C4</f>
        <v>0</v>
      </c>
      <c r="F4" s="5"/>
      <c r="G4" s="46"/>
      <c r="H4" s="6">
        <f>G4</f>
        <v>0</v>
      </c>
      <c r="I4" s="7"/>
      <c r="J4" s="16"/>
      <c r="K4" s="17"/>
      <c r="L4" s="17"/>
      <c r="M4" s="17"/>
      <c r="N4" s="17"/>
      <c r="O4" s="17"/>
      <c r="P4" s="17"/>
      <c r="Q4" s="18"/>
      <c r="R4" s="17"/>
      <c r="S4" s="18"/>
      <c r="T4" s="17"/>
      <c r="U4" s="18"/>
      <c r="V4" s="17"/>
      <c r="W4" s="23">
        <f t="shared" ref="W4:W34" si="0">SUM(K4:V4)</f>
        <v>0</v>
      </c>
    </row>
    <row r="5" spans="1:23">
      <c r="A5" s="4"/>
      <c r="B5" s="25"/>
      <c r="C5" s="49"/>
      <c r="D5" s="49"/>
      <c r="E5" s="5">
        <f t="shared" ref="E5:E34" si="1">+B5-D5-C5</f>
        <v>0</v>
      </c>
      <c r="F5" s="5"/>
      <c r="G5" s="46"/>
      <c r="H5" s="6">
        <f>G5+H4</f>
        <v>0</v>
      </c>
      <c r="I5" s="7"/>
      <c r="J5" s="16"/>
      <c r="K5" s="17"/>
      <c r="L5" s="17"/>
      <c r="M5" s="17"/>
      <c r="N5" s="17"/>
      <c r="O5" s="17"/>
      <c r="P5" s="17"/>
      <c r="Q5" s="18"/>
      <c r="R5" s="17"/>
      <c r="S5" s="18"/>
      <c r="T5" s="17"/>
      <c r="U5" s="18"/>
      <c r="V5" s="17"/>
      <c r="W5" s="23">
        <f t="shared" si="0"/>
        <v>0</v>
      </c>
    </row>
    <row r="6" spans="1:23">
      <c r="A6" s="4"/>
      <c r="B6" s="25"/>
      <c r="C6" s="49"/>
      <c r="D6" s="49"/>
      <c r="E6" s="5">
        <f t="shared" si="1"/>
        <v>0</v>
      </c>
      <c r="F6" s="5"/>
      <c r="G6" s="46"/>
      <c r="H6" s="6">
        <f>G6+H5</f>
        <v>0</v>
      </c>
      <c r="I6" s="7"/>
      <c r="J6" s="16"/>
      <c r="K6" s="17"/>
      <c r="L6" s="17"/>
      <c r="M6" s="17"/>
      <c r="N6" s="17"/>
      <c r="O6" s="17"/>
      <c r="P6" s="17"/>
      <c r="Q6" s="18"/>
      <c r="R6" s="17"/>
      <c r="S6" s="18"/>
      <c r="T6" s="17"/>
      <c r="U6" s="18"/>
      <c r="V6" s="17"/>
      <c r="W6" s="23">
        <f t="shared" si="0"/>
        <v>0</v>
      </c>
    </row>
    <row r="7" spans="1:23">
      <c r="A7" s="4"/>
      <c r="B7" s="25"/>
      <c r="C7" s="49"/>
      <c r="D7" s="49"/>
      <c r="E7" s="5">
        <f t="shared" si="1"/>
        <v>0</v>
      </c>
      <c r="F7" s="5"/>
      <c r="G7" s="46"/>
      <c r="H7" s="6">
        <f t="shared" ref="H7:H34" si="2">G7+H6</f>
        <v>0</v>
      </c>
      <c r="I7" s="7"/>
      <c r="J7" s="16"/>
      <c r="K7" s="17"/>
      <c r="L7" s="17"/>
      <c r="M7" s="17"/>
      <c r="N7" s="17"/>
      <c r="O7" s="17"/>
      <c r="P7" s="17"/>
      <c r="Q7" s="18"/>
      <c r="R7" s="17"/>
      <c r="S7" s="18"/>
      <c r="T7" s="17"/>
      <c r="U7" s="18"/>
      <c r="V7" s="17"/>
      <c r="W7" s="23">
        <f t="shared" si="0"/>
        <v>0</v>
      </c>
    </row>
    <row r="8" spans="1:23">
      <c r="A8" s="4"/>
      <c r="B8" s="25"/>
      <c r="C8" s="49"/>
      <c r="D8" s="49"/>
      <c r="E8" s="5">
        <f t="shared" si="1"/>
        <v>0</v>
      </c>
      <c r="F8" s="5"/>
      <c r="G8" s="46"/>
      <c r="H8" s="6">
        <f t="shared" si="2"/>
        <v>0</v>
      </c>
      <c r="I8" s="7"/>
      <c r="J8" s="16"/>
      <c r="K8" s="17"/>
      <c r="L8" s="17"/>
      <c r="M8" s="17"/>
      <c r="N8" s="17"/>
      <c r="O8" s="17"/>
      <c r="P8" s="17"/>
      <c r="Q8" s="18"/>
      <c r="R8" s="17"/>
      <c r="S8" s="18"/>
      <c r="T8" s="17"/>
      <c r="U8" s="18"/>
      <c r="V8" s="17"/>
      <c r="W8" s="23">
        <f t="shared" si="0"/>
        <v>0</v>
      </c>
    </row>
    <row r="9" spans="1:23">
      <c r="A9" s="4"/>
      <c r="B9" s="25"/>
      <c r="C9" s="49"/>
      <c r="D9" s="49"/>
      <c r="E9" s="5">
        <f t="shared" si="1"/>
        <v>0</v>
      </c>
      <c r="F9" s="5"/>
      <c r="G9" s="46"/>
      <c r="H9" s="6">
        <f t="shared" si="2"/>
        <v>0</v>
      </c>
      <c r="I9" s="7"/>
      <c r="J9" s="16"/>
      <c r="K9" s="17"/>
      <c r="L9" s="17"/>
      <c r="M9" s="17"/>
      <c r="N9" s="17"/>
      <c r="O9" s="17"/>
      <c r="P9" s="17"/>
      <c r="Q9" s="18"/>
      <c r="R9" s="17"/>
      <c r="S9" s="18"/>
      <c r="T9" s="17"/>
      <c r="U9" s="18"/>
      <c r="V9" s="17"/>
      <c r="W9" s="23">
        <f t="shared" si="0"/>
        <v>0</v>
      </c>
    </row>
    <row r="10" spans="1:23">
      <c r="A10" s="4"/>
      <c r="B10" s="25"/>
      <c r="C10" s="49"/>
      <c r="D10" s="49"/>
      <c r="E10" s="5">
        <f t="shared" si="1"/>
        <v>0</v>
      </c>
      <c r="F10" s="5"/>
      <c r="G10" s="46"/>
      <c r="H10" s="6">
        <f t="shared" si="2"/>
        <v>0</v>
      </c>
      <c r="I10" s="7"/>
      <c r="J10" s="16"/>
      <c r="K10" s="17"/>
      <c r="L10" s="17"/>
      <c r="M10" s="17"/>
      <c r="N10" s="17"/>
      <c r="O10" s="17"/>
      <c r="P10" s="17"/>
      <c r="Q10" s="18"/>
      <c r="R10" s="17"/>
      <c r="S10" s="18"/>
      <c r="T10" s="17"/>
      <c r="U10" s="18"/>
      <c r="V10" s="17"/>
      <c r="W10" s="23">
        <f t="shared" si="0"/>
        <v>0</v>
      </c>
    </row>
    <row r="11" spans="1:23">
      <c r="A11" s="4"/>
      <c r="B11" s="26"/>
      <c r="C11" s="49"/>
      <c r="D11" s="49"/>
      <c r="E11" s="5">
        <f t="shared" si="1"/>
        <v>0</v>
      </c>
      <c r="F11" s="5"/>
      <c r="G11" s="46"/>
      <c r="H11" s="6">
        <f t="shared" si="2"/>
        <v>0</v>
      </c>
      <c r="I11" s="7"/>
      <c r="J11" s="16"/>
      <c r="K11" s="17"/>
      <c r="L11" s="17"/>
      <c r="M11" s="17"/>
      <c r="N11" s="17"/>
      <c r="O11" s="17"/>
      <c r="P11" s="17"/>
      <c r="Q11" s="18"/>
      <c r="R11" s="17"/>
      <c r="S11" s="18"/>
      <c r="T11" s="17"/>
      <c r="U11" s="18"/>
      <c r="V11" s="17"/>
      <c r="W11" s="23">
        <f t="shared" si="0"/>
        <v>0</v>
      </c>
    </row>
    <row r="12" spans="1:23">
      <c r="A12" s="4"/>
      <c r="B12" s="25"/>
      <c r="C12" s="49"/>
      <c r="D12" s="49"/>
      <c r="E12" s="5">
        <f t="shared" si="1"/>
        <v>0</v>
      </c>
      <c r="F12" s="5"/>
      <c r="G12" s="46"/>
      <c r="H12" s="6">
        <f t="shared" si="2"/>
        <v>0</v>
      </c>
      <c r="I12" s="7"/>
      <c r="J12" s="16"/>
      <c r="K12" s="17"/>
      <c r="L12" s="17"/>
      <c r="M12" s="17"/>
      <c r="N12" s="17"/>
      <c r="O12" s="17"/>
      <c r="P12" s="17"/>
      <c r="Q12" s="18"/>
      <c r="R12" s="17"/>
      <c r="S12" s="18"/>
      <c r="T12" s="17"/>
      <c r="U12" s="18"/>
      <c r="V12" s="17"/>
      <c r="W12" s="23">
        <f t="shared" si="0"/>
        <v>0</v>
      </c>
    </row>
    <row r="13" spans="1:23">
      <c r="A13" s="4"/>
      <c r="B13" s="9"/>
      <c r="C13" s="49"/>
      <c r="D13" s="49"/>
      <c r="E13" s="5">
        <f t="shared" si="1"/>
        <v>0</v>
      </c>
      <c r="F13" s="5"/>
      <c r="G13" s="46"/>
      <c r="H13" s="6">
        <f t="shared" si="2"/>
        <v>0</v>
      </c>
      <c r="I13" s="7"/>
      <c r="J13" s="16"/>
      <c r="K13" s="17"/>
      <c r="L13" s="17"/>
      <c r="M13" s="17"/>
      <c r="N13" s="17"/>
      <c r="O13" s="17"/>
      <c r="P13" s="17"/>
      <c r="Q13" s="18"/>
      <c r="R13" s="17"/>
      <c r="S13" s="18"/>
      <c r="T13" s="17"/>
      <c r="U13" s="18"/>
      <c r="V13" s="17"/>
      <c r="W13" s="23">
        <f t="shared" si="0"/>
        <v>0</v>
      </c>
    </row>
    <row r="14" spans="1:23">
      <c r="A14" s="4"/>
      <c r="B14" s="9"/>
      <c r="C14" s="49"/>
      <c r="D14" s="49"/>
      <c r="E14" s="5">
        <f t="shared" si="1"/>
        <v>0</v>
      </c>
      <c r="F14" s="5"/>
      <c r="G14" s="46"/>
      <c r="H14" s="6">
        <f t="shared" si="2"/>
        <v>0</v>
      </c>
      <c r="I14" s="7"/>
      <c r="J14" s="16"/>
      <c r="K14" s="17"/>
      <c r="L14" s="17"/>
      <c r="M14" s="17"/>
      <c r="N14" s="17"/>
      <c r="O14" s="17"/>
      <c r="P14" s="17"/>
      <c r="Q14" s="18"/>
      <c r="R14" s="17"/>
      <c r="S14" s="18"/>
      <c r="T14" s="17"/>
      <c r="U14" s="18"/>
      <c r="V14" s="17"/>
      <c r="W14" s="23">
        <f t="shared" si="0"/>
        <v>0</v>
      </c>
    </row>
    <row r="15" spans="1:23">
      <c r="A15" s="4"/>
      <c r="B15" s="10"/>
      <c r="C15" s="49"/>
      <c r="D15" s="49"/>
      <c r="E15" s="5">
        <f t="shared" si="1"/>
        <v>0</v>
      </c>
      <c r="F15" s="5"/>
      <c r="G15" s="46"/>
      <c r="H15" s="6">
        <f t="shared" si="2"/>
        <v>0</v>
      </c>
      <c r="I15" s="7"/>
      <c r="J15" s="16"/>
      <c r="K15" s="17"/>
      <c r="L15" s="17"/>
      <c r="M15" s="17"/>
      <c r="N15" s="17"/>
      <c r="O15" s="17"/>
      <c r="P15" s="17"/>
      <c r="Q15" s="18"/>
      <c r="R15" s="17"/>
      <c r="S15" s="18"/>
      <c r="T15" s="17"/>
      <c r="U15" s="18"/>
      <c r="V15" s="17"/>
      <c r="W15" s="23">
        <f t="shared" si="0"/>
        <v>0</v>
      </c>
    </row>
    <row r="16" spans="1:23">
      <c r="A16" s="4"/>
      <c r="B16" s="25"/>
      <c r="C16" s="49"/>
      <c r="D16" s="49"/>
      <c r="E16" s="5">
        <f t="shared" si="1"/>
        <v>0</v>
      </c>
      <c r="F16" s="5"/>
      <c r="G16" s="46"/>
      <c r="H16" s="6">
        <f t="shared" si="2"/>
        <v>0</v>
      </c>
      <c r="I16" s="7"/>
      <c r="J16" s="16"/>
      <c r="K16" s="17"/>
      <c r="L16" s="17"/>
      <c r="M16" s="17"/>
      <c r="N16" s="17"/>
      <c r="O16" s="17"/>
      <c r="P16" s="17"/>
      <c r="Q16" s="18"/>
      <c r="R16" s="17"/>
      <c r="S16" s="18"/>
      <c r="T16" s="17"/>
      <c r="U16" s="18"/>
      <c r="V16" s="17"/>
      <c r="W16" s="23">
        <f t="shared" si="0"/>
        <v>0</v>
      </c>
    </row>
    <row r="17" spans="1:23">
      <c r="A17" s="4"/>
      <c r="B17" s="25"/>
      <c r="C17" s="49"/>
      <c r="D17" s="49"/>
      <c r="E17" s="5">
        <f t="shared" si="1"/>
        <v>0</v>
      </c>
      <c r="F17" s="5"/>
      <c r="G17" s="46"/>
      <c r="H17" s="6">
        <f t="shared" si="2"/>
        <v>0</v>
      </c>
      <c r="I17" s="7"/>
      <c r="J17" s="16"/>
      <c r="K17" s="17"/>
      <c r="L17" s="17"/>
      <c r="M17" s="17"/>
      <c r="N17" s="17"/>
      <c r="O17" s="17"/>
      <c r="P17" s="17"/>
      <c r="Q17" s="18"/>
      <c r="R17" s="17"/>
      <c r="S17" s="18"/>
      <c r="T17" s="17"/>
      <c r="U17" s="18"/>
      <c r="V17" s="17"/>
      <c r="W17" s="23">
        <f t="shared" si="0"/>
        <v>0</v>
      </c>
    </row>
    <row r="18" spans="1:23">
      <c r="A18" s="4"/>
      <c r="B18" s="25"/>
      <c r="C18" s="49"/>
      <c r="D18" s="49"/>
      <c r="E18" s="5">
        <f t="shared" si="1"/>
        <v>0</v>
      </c>
      <c r="F18" s="5"/>
      <c r="G18" s="46"/>
      <c r="H18" s="6">
        <f t="shared" si="2"/>
        <v>0</v>
      </c>
      <c r="I18" s="7"/>
      <c r="J18" s="16"/>
      <c r="K18" s="17"/>
      <c r="L18" s="17"/>
      <c r="M18" s="17"/>
      <c r="N18" s="17"/>
      <c r="O18" s="17"/>
      <c r="P18" s="17"/>
      <c r="Q18" s="18"/>
      <c r="R18" s="17"/>
      <c r="S18" s="18"/>
      <c r="T18" s="17"/>
      <c r="U18" s="18"/>
      <c r="V18" s="17"/>
      <c r="W18" s="23">
        <f t="shared" si="0"/>
        <v>0</v>
      </c>
    </row>
    <row r="19" spans="1:23">
      <c r="A19" s="4"/>
      <c r="B19" s="25"/>
      <c r="C19" s="49"/>
      <c r="D19" s="49"/>
      <c r="E19" s="5">
        <f t="shared" si="1"/>
        <v>0</v>
      </c>
      <c r="F19" s="5"/>
      <c r="G19" s="46"/>
      <c r="H19" s="6">
        <f t="shared" si="2"/>
        <v>0</v>
      </c>
      <c r="I19" s="7"/>
      <c r="J19" s="16"/>
      <c r="K19" s="17"/>
      <c r="L19" s="17"/>
      <c r="M19" s="17"/>
      <c r="N19" s="17"/>
      <c r="O19" s="17"/>
      <c r="P19" s="17"/>
      <c r="Q19" s="18"/>
      <c r="R19" s="17"/>
      <c r="S19" s="18"/>
      <c r="T19" s="17"/>
      <c r="U19" s="18"/>
      <c r="V19" s="17"/>
      <c r="W19" s="23">
        <f t="shared" si="0"/>
        <v>0</v>
      </c>
    </row>
    <row r="20" spans="1:23">
      <c r="A20" s="4"/>
      <c r="B20" s="25"/>
      <c r="C20" s="49"/>
      <c r="D20" s="49"/>
      <c r="E20" s="5">
        <f t="shared" si="1"/>
        <v>0</v>
      </c>
      <c r="F20" s="5"/>
      <c r="G20" s="46"/>
      <c r="H20" s="6">
        <f t="shared" si="2"/>
        <v>0</v>
      </c>
      <c r="I20" s="7"/>
      <c r="J20" s="16"/>
      <c r="K20" s="17"/>
      <c r="L20" s="17"/>
      <c r="M20" s="17"/>
      <c r="N20" s="17"/>
      <c r="O20" s="17"/>
      <c r="P20" s="17"/>
      <c r="Q20" s="18"/>
      <c r="R20" s="17"/>
      <c r="S20" s="18"/>
      <c r="T20" s="17"/>
      <c r="U20" s="18"/>
      <c r="V20" s="17"/>
      <c r="W20" s="23">
        <f t="shared" si="0"/>
        <v>0</v>
      </c>
    </row>
    <row r="21" spans="1:23">
      <c r="A21" s="4"/>
      <c r="B21" s="50"/>
      <c r="C21" s="49"/>
      <c r="D21" s="49"/>
      <c r="E21" s="5">
        <f t="shared" si="1"/>
        <v>0</v>
      </c>
      <c r="F21" s="5"/>
      <c r="G21" s="47"/>
      <c r="H21" s="6">
        <f t="shared" si="2"/>
        <v>0</v>
      </c>
      <c r="I21" s="7"/>
      <c r="J21" s="16"/>
      <c r="K21" s="17"/>
      <c r="L21" s="17"/>
      <c r="M21" s="17"/>
      <c r="N21" s="17"/>
      <c r="O21" s="17"/>
      <c r="P21" s="17"/>
      <c r="Q21" s="18"/>
      <c r="R21" s="17"/>
      <c r="S21" s="18"/>
      <c r="T21" s="17"/>
      <c r="U21" s="18"/>
      <c r="V21" s="17"/>
      <c r="W21" s="23">
        <f t="shared" si="0"/>
        <v>0</v>
      </c>
    </row>
    <row r="22" spans="1:23">
      <c r="A22" s="4"/>
      <c r="B22" s="25"/>
      <c r="C22" s="49"/>
      <c r="D22" s="49"/>
      <c r="E22" s="5">
        <f t="shared" si="1"/>
        <v>0</v>
      </c>
      <c r="F22" s="5"/>
      <c r="G22" s="46"/>
      <c r="H22" s="6">
        <f t="shared" si="2"/>
        <v>0</v>
      </c>
      <c r="I22" s="7"/>
      <c r="J22" s="16"/>
      <c r="K22" s="17"/>
      <c r="L22" s="17"/>
      <c r="M22" s="17"/>
      <c r="N22" s="17"/>
      <c r="O22" s="17"/>
      <c r="P22" s="17"/>
      <c r="Q22" s="18"/>
      <c r="R22" s="17"/>
      <c r="S22" s="18"/>
      <c r="T22" s="17"/>
      <c r="U22" s="18"/>
      <c r="V22" s="17"/>
      <c r="W22" s="23">
        <f t="shared" si="0"/>
        <v>0</v>
      </c>
    </row>
    <row r="23" spans="1:23">
      <c r="A23" s="4"/>
      <c r="B23" s="25"/>
      <c r="C23" s="49"/>
      <c r="D23" s="49"/>
      <c r="E23" s="5">
        <f t="shared" si="1"/>
        <v>0</v>
      </c>
      <c r="F23" s="5"/>
      <c r="G23" s="46"/>
      <c r="H23" s="6">
        <f t="shared" si="2"/>
        <v>0</v>
      </c>
      <c r="I23" s="7"/>
      <c r="J23" s="16"/>
      <c r="K23" s="17"/>
      <c r="L23" s="17"/>
      <c r="M23" s="17"/>
      <c r="N23" s="17"/>
      <c r="O23" s="17"/>
      <c r="P23" s="17"/>
      <c r="Q23" s="18"/>
      <c r="R23" s="17"/>
      <c r="S23" s="18"/>
      <c r="T23" s="17"/>
      <c r="U23" s="18"/>
      <c r="V23" s="17"/>
      <c r="W23" s="23">
        <f t="shared" si="0"/>
        <v>0</v>
      </c>
    </row>
    <row r="24" spans="1:23">
      <c r="A24" s="4"/>
      <c r="B24" s="25"/>
      <c r="C24" s="49"/>
      <c r="D24" s="49"/>
      <c r="E24" s="5">
        <f t="shared" si="1"/>
        <v>0</v>
      </c>
      <c r="F24" s="5"/>
      <c r="G24" s="46"/>
      <c r="H24" s="6">
        <f t="shared" si="2"/>
        <v>0</v>
      </c>
      <c r="I24" s="7"/>
      <c r="J24" s="16"/>
      <c r="K24" s="17"/>
      <c r="L24" s="17"/>
      <c r="M24" s="17"/>
      <c r="N24" s="17"/>
      <c r="O24" s="17"/>
      <c r="P24" s="17"/>
      <c r="Q24" s="18"/>
      <c r="R24" s="17"/>
      <c r="S24" s="18"/>
      <c r="T24" s="17"/>
      <c r="U24" s="18"/>
      <c r="V24" s="17"/>
      <c r="W24" s="23">
        <f t="shared" si="0"/>
        <v>0</v>
      </c>
    </row>
    <row r="25" spans="1:23">
      <c r="A25" s="4"/>
      <c r="B25" s="25"/>
      <c r="C25" s="49"/>
      <c r="D25" s="49"/>
      <c r="E25" s="5">
        <f t="shared" si="1"/>
        <v>0</v>
      </c>
      <c r="F25" s="5"/>
      <c r="G25" s="46"/>
      <c r="H25" s="6">
        <f t="shared" si="2"/>
        <v>0</v>
      </c>
      <c r="I25" s="7"/>
      <c r="J25" s="16"/>
      <c r="K25" s="17"/>
      <c r="L25" s="17"/>
      <c r="M25" s="17"/>
      <c r="N25" s="17"/>
      <c r="O25" s="17"/>
      <c r="P25" s="17"/>
      <c r="Q25" s="18"/>
      <c r="R25" s="17"/>
      <c r="S25" s="18"/>
      <c r="T25" s="17"/>
      <c r="U25" s="18"/>
      <c r="V25" s="17"/>
      <c r="W25" s="23">
        <f t="shared" si="0"/>
        <v>0</v>
      </c>
    </row>
    <row r="26" spans="1:23">
      <c r="A26" s="4"/>
      <c r="B26" s="25"/>
      <c r="C26" s="49"/>
      <c r="D26" s="49"/>
      <c r="E26" s="5">
        <f t="shared" si="1"/>
        <v>0</v>
      </c>
      <c r="F26" s="5"/>
      <c r="G26" s="48"/>
      <c r="H26" s="6">
        <f t="shared" si="2"/>
        <v>0</v>
      </c>
      <c r="I26" s="7"/>
      <c r="J26" s="16"/>
      <c r="K26" s="17"/>
      <c r="L26" s="17"/>
      <c r="M26" s="17"/>
      <c r="N26" s="17"/>
      <c r="O26" s="17"/>
      <c r="P26" s="17"/>
      <c r="Q26" s="18"/>
      <c r="R26" s="17"/>
      <c r="S26" s="18"/>
      <c r="T26" s="17"/>
      <c r="U26" s="18"/>
      <c r="V26" s="17"/>
      <c r="W26" s="23">
        <f t="shared" si="0"/>
        <v>0</v>
      </c>
    </row>
    <row r="27" spans="1:23">
      <c r="A27" s="4"/>
      <c r="B27" s="25"/>
      <c r="C27" s="49"/>
      <c r="D27" s="49"/>
      <c r="E27" s="5">
        <f t="shared" si="1"/>
        <v>0</v>
      </c>
      <c r="F27" s="5"/>
      <c r="G27" s="46"/>
      <c r="H27" s="6">
        <f t="shared" si="2"/>
        <v>0</v>
      </c>
      <c r="I27" s="7"/>
      <c r="J27" s="16"/>
      <c r="K27" s="17"/>
      <c r="L27" s="17"/>
      <c r="M27" s="17"/>
      <c r="N27" s="17"/>
      <c r="O27" s="17"/>
      <c r="P27" s="17"/>
      <c r="Q27" s="18"/>
      <c r="R27" s="17"/>
      <c r="S27" s="18"/>
      <c r="T27" s="17"/>
      <c r="U27" s="18"/>
      <c r="V27" s="17"/>
      <c r="W27" s="23">
        <f t="shared" si="0"/>
        <v>0</v>
      </c>
    </row>
    <row r="28" spans="1:23">
      <c r="A28" s="4"/>
      <c r="B28" s="25"/>
      <c r="C28" s="49"/>
      <c r="D28" s="49"/>
      <c r="E28" s="5">
        <f t="shared" si="1"/>
        <v>0</v>
      </c>
      <c r="F28" s="5"/>
      <c r="G28" s="46"/>
      <c r="H28" s="6">
        <f t="shared" si="2"/>
        <v>0</v>
      </c>
      <c r="I28" s="7"/>
      <c r="J28" s="16"/>
      <c r="K28" s="17"/>
      <c r="L28" s="17"/>
      <c r="M28" s="17"/>
      <c r="N28" s="17"/>
      <c r="O28" s="17"/>
      <c r="P28" s="17"/>
      <c r="Q28" s="18"/>
      <c r="R28" s="17"/>
      <c r="S28" s="18"/>
      <c r="T28" s="17"/>
      <c r="U28" s="18"/>
      <c r="V28" s="17"/>
      <c r="W28" s="23">
        <f t="shared" si="0"/>
        <v>0</v>
      </c>
    </row>
    <row r="29" spans="1:23">
      <c r="A29" s="4"/>
      <c r="B29" s="25"/>
      <c r="C29" s="49"/>
      <c r="D29" s="49"/>
      <c r="E29" s="5">
        <f t="shared" si="1"/>
        <v>0</v>
      </c>
      <c r="F29" s="5"/>
      <c r="G29" s="46"/>
      <c r="H29" s="6">
        <f t="shared" si="2"/>
        <v>0</v>
      </c>
      <c r="I29" s="7"/>
      <c r="J29" s="16"/>
      <c r="K29" s="17"/>
      <c r="L29" s="17"/>
      <c r="M29" s="17"/>
      <c r="N29" s="17"/>
      <c r="O29" s="17"/>
      <c r="P29" s="17"/>
      <c r="Q29" s="18"/>
      <c r="R29" s="17"/>
      <c r="S29" s="18"/>
      <c r="T29" s="17"/>
      <c r="U29" s="18"/>
      <c r="V29" s="17"/>
      <c r="W29" s="23">
        <f t="shared" si="0"/>
        <v>0</v>
      </c>
    </row>
    <row r="30" spans="1:23">
      <c r="A30" s="4"/>
      <c r="B30" s="25"/>
      <c r="C30" s="49"/>
      <c r="D30" s="49"/>
      <c r="E30" s="5">
        <f t="shared" si="1"/>
        <v>0</v>
      </c>
      <c r="F30" s="5"/>
      <c r="G30" s="46"/>
      <c r="H30" s="6">
        <f t="shared" si="2"/>
        <v>0</v>
      </c>
      <c r="I30" s="7"/>
      <c r="J30" s="16"/>
      <c r="K30" s="17"/>
      <c r="L30" s="17"/>
      <c r="M30" s="17"/>
      <c r="N30" s="17"/>
      <c r="O30" s="17"/>
      <c r="P30" s="17"/>
      <c r="Q30" s="18"/>
      <c r="R30" s="17"/>
      <c r="S30" s="18"/>
      <c r="T30" s="17"/>
      <c r="U30" s="18"/>
      <c r="V30" s="17"/>
      <c r="W30" s="23">
        <f t="shared" si="0"/>
        <v>0</v>
      </c>
    </row>
    <row r="31" spans="1:23">
      <c r="A31" s="4"/>
      <c r="B31" s="25"/>
      <c r="C31" s="49"/>
      <c r="D31" s="49"/>
      <c r="E31" s="5">
        <f t="shared" si="1"/>
        <v>0</v>
      </c>
      <c r="F31" s="5"/>
      <c r="G31" s="46"/>
      <c r="H31" s="6">
        <f>G31+H30</f>
        <v>0</v>
      </c>
      <c r="I31" s="7"/>
      <c r="J31" s="16"/>
      <c r="K31" s="17"/>
      <c r="L31" s="17"/>
      <c r="M31" s="17"/>
      <c r="N31" s="17"/>
      <c r="O31" s="17"/>
      <c r="P31" s="17"/>
      <c r="Q31" s="18"/>
      <c r="R31" s="17"/>
      <c r="S31" s="18"/>
      <c r="T31" s="17"/>
      <c r="U31" s="18"/>
      <c r="V31" s="17"/>
      <c r="W31" s="23">
        <f t="shared" si="0"/>
        <v>0</v>
      </c>
    </row>
    <row r="32" spans="1:23">
      <c r="A32" s="4"/>
      <c r="B32" s="25"/>
      <c r="C32" s="49"/>
      <c r="D32" s="49"/>
      <c r="E32" s="5">
        <f t="shared" si="1"/>
        <v>0</v>
      </c>
      <c r="F32" s="5"/>
      <c r="G32" s="46"/>
      <c r="H32" s="6">
        <f t="shared" si="2"/>
        <v>0</v>
      </c>
      <c r="I32" s="7"/>
      <c r="J32" s="16"/>
      <c r="K32" s="17"/>
      <c r="L32" s="17"/>
      <c r="M32" s="17"/>
      <c r="N32" s="17"/>
      <c r="O32" s="17"/>
      <c r="P32" s="17"/>
      <c r="Q32" s="18"/>
      <c r="R32" s="17"/>
      <c r="S32" s="18"/>
      <c r="T32" s="17"/>
      <c r="U32" s="18"/>
      <c r="V32" s="17"/>
      <c r="W32" s="23">
        <f t="shared" si="0"/>
        <v>0</v>
      </c>
    </row>
    <row r="33" spans="1:23">
      <c r="A33" s="4"/>
      <c r="B33" s="8"/>
      <c r="C33" s="49"/>
      <c r="D33" s="49"/>
      <c r="E33" s="5">
        <f t="shared" si="1"/>
        <v>0</v>
      </c>
      <c r="F33" s="5"/>
      <c r="G33" s="46"/>
      <c r="H33" s="6">
        <f t="shared" si="2"/>
        <v>0</v>
      </c>
      <c r="I33" s="7"/>
      <c r="J33" s="16"/>
      <c r="K33" s="17"/>
      <c r="L33" s="17"/>
      <c r="M33" s="17"/>
      <c r="N33" s="17"/>
      <c r="O33" s="17"/>
      <c r="P33" s="17"/>
      <c r="Q33" s="18"/>
      <c r="R33" s="17"/>
      <c r="S33" s="18"/>
      <c r="T33" s="17"/>
      <c r="U33" s="18"/>
      <c r="V33" s="17"/>
      <c r="W33" s="23">
        <f t="shared" si="0"/>
        <v>0</v>
      </c>
    </row>
    <row r="34" spans="1:23">
      <c r="A34" s="4"/>
      <c r="B34" s="92"/>
      <c r="C34" s="49"/>
      <c r="D34" s="49"/>
      <c r="E34" s="5">
        <f t="shared" si="1"/>
        <v>0</v>
      </c>
      <c r="F34" s="5"/>
      <c r="G34" s="46"/>
      <c r="H34" s="6">
        <f t="shared" si="2"/>
        <v>0</v>
      </c>
      <c r="I34" s="7"/>
      <c r="J34" s="16"/>
      <c r="K34" s="17"/>
      <c r="L34" s="17"/>
      <c r="M34" s="17"/>
      <c r="N34" s="17"/>
      <c r="O34" s="17"/>
      <c r="P34" s="17"/>
      <c r="Q34" s="18"/>
      <c r="R34" s="17"/>
      <c r="S34" s="18"/>
      <c r="T34" s="17"/>
      <c r="U34" s="18"/>
      <c r="V34" s="17"/>
      <c r="W34" s="23">
        <f t="shared" si="0"/>
        <v>0</v>
      </c>
    </row>
    <row r="35" spans="1:23">
      <c r="A35" s="91" t="s">
        <v>150</v>
      </c>
      <c r="B35" s="93">
        <f>SUM(B4:B34)</f>
        <v>0</v>
      </c>
      <c r="C35" s="93">
        <f t="shared" ref="C35:G35" si="3">SUM(C4:C34)</f>
        <v>0</v>
      </c>
      <c r="D35" s="93">
        <f t="shared" si="3"/>
        <v>0</v>
      </c>
      <c r="E35" s="93">
        <f t="shared" si="3"/>
        <v>0</v>
      </c>
      <c r="F35" s="93">
        <f>F34</f>
        <v>0</v>
      </c>
      <c r="G35" s="93">
        <f t="shared" si="3"/>
        <v>0</v>
      </c>
      <c r="H35" s="97">
        <f>H34</f>
        <v>0</v>
      </c>
      <c r="I35" s="12">
        <f>SUM(I4:I34)</f>
        <v>0</v>
      </c>
      <c r="J35" s="12">
        <f>J34</f>
        <v>0</v>
      </c>
      <c r="K35" s="19">
        <f t="shared" ref="K35:W35" si="4">SUM(K4:K34)</f>
        <v>0</v>
      </c>
      <c r="L35" s="19">
        <f t="shared" si="4"/>
        <v>0</v>
      </c>
      <c r="M35" s="19">
        <f t="shared" si="4"/>
        <v>0</v>
      </c>
      <c r="N35" s="19">
        <f t="shared" si="4"/>
        <v>0</v>
      </c>
      <c r="O35" s="19">
        <f t="shared" si="4"/>
        <v>0</v>
      </c>
      <c r="P35" s="19">
        <f t="shared" si="4"/>
        <v>0</v>
      </c>
      <c r="Q35" s="19">
        <f t="shared" si="4"/>
        <v>0</v>
      </c>
      <c r="R35" s="19">
        <f t="shared" si="4"/>
        <v>0</v>
      </c>
      <c r="S35" s="19">
        <f t="shared" si="4"/>
        <v>0</v>
      </c>
      <c r="T35" s="19">
        <f t="shared" si="4"/>
        <v>0</v>
      </c>
      <c r="U35" s="19">
        <f t="shared" si="4"/>
        <v>0</v>
      </c>
      <c r="V35" s="19">
        <f t="shared" si="4"/>
        <v>0</v>
      </c>
      <c r="W35" s="19">
        <f t="shared" si="4"/>
        <v>0</v>
      </c>
    </row>
  </sheetData>
  <mergeCells count="2">
    <mergeCell ref="A1:I1"/>
    <mergeCell ref="J1:W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"/>
  <sheetViews>
    <sheetView workbookViewId="0">
      <selection activeCell="F15" sqref="F15"/>
    </sheetView>
  </sheetViews>
  <sheetFormatPr defaultColWidth="9.140625" defaultRowHeight="12.75"/>
  <cols>
    <col min="1" max="1" width="22.42578125" customWidth="1"/>
    <col min="2" max="3" width="12.85546875" customWidth="1"/>
    <col min="4" max="4" width="14.85546875" customWidth="1"/>
    <col min="5" max="5" width="13.85546875" customWidth="1"/>
    <col min="6" max="6" width="15.42578125" customWidth="1"/>
    <col min="7" max="7" width="12.85546875" customWidth="1"/>
    <col min="8" max="8" width="15.5703125" customWidth="1"/>
    <col min="9" max="9" width="12.85546875" customWidth="1"/>
    <col min="10" max="10" width="14" customWidth="1"/>
    <col min="11" max="11" width="13" customWidth="1"/>
  </cols>
  <sheetData>
    <row r="1" spans="1:23" ht="30.95" customHeight="1">
      <c r="A1" s="203"/>
      <c r="B1" s="203"/>
      <c r="C1" s="203"/>
      <c r="D1" s="203"/>
      <c r="E1" s="203"/>
      <c r="F1" s="203"/>
      <c r="G1" s="203"/>
      <c r="H1" s="203"/>
      <c r="I1" s="203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</row>
    <row r="2" spans="1:23">
      <c r="A2" s="96"/>
      <c r="B2" s="96"/>
      <c r="C2" s="96"/>
      <c r="D2" s="96"/>
      <c r="E2" s="96"/>
      <c r="F2" s="96"/>
      <c r="G2" s="96"/>
      <c r="H2" s="96"/>
      <c r="I2" s="96"/>
      <c r="J2" s="96"/>
    </row>
    <row r="3" spans="1:23" ht="51">
      <c r="A3" s="94" t="s">
        <v>130</v>
      </c>
      <c r="B3" s="94" t="s">
        <v>131</v>
      </c>
      <c r="C3" s="94" t="s">
        <v>151</v>
      </c>
      <c r="D3" s="94" t="s">
        <v>132</v>
      </c>
      <c r="E3" s="94" t="s">
        <v>133</v>
      </c>
      <c r="F3" s="94" t="s">
        <v>134</v>
      </c>
      <c r="G3" s="94" t="s">
        <v>135</v>
      </c>
      <c r="H3" s="94" t="s">
        <v>136</v>
      </c>
      <c r="I3" s="94" t="s">
        <v>137</v>
      </c>
      <c r="J3" s="95" t="s">
        <v>138</v>
      </c>
      <c r="K3" s="14" t="s">
        <v>139</v>
      </c>
      <c r="L3" s="14" t="s">
        <v>97</v>
      </c>
      <c r="M3" s="15" t="s">
        <v>140</v>
      </c>
      <c r="N3" s="15" t="s">
        <v>141</v>
      </c>
      <c r="O3" s="14" t="s">
        <v>142</v>
      </c>
      <c r="P3" s="14" t="s">
        <v>143</v>
      </c>
      <c r="Q3" s="14" t="s">
        <v>144</v>
      </c>
      <c r="R3" s="15" t="s">
        <v>145</v>
      </c>
      <c r="S3" s="15" t="s">
        <v>146</v>
      </c>
      <c r="T3" s="15" t="s">
        <v>147</v>
      </c>
      <c r="U3" s="15" t="s">
        <v>148</v>
      </c>
      <c r="V3" s="15" t="s">
        <v>149</v>
      </c>
      <c r="W3" s="15" t="s">
        <v>150</v>
      </c>
    </row>
    <row r="4" spans="1:23">
      <c r="A4" s="4"/>
      <c r="B4" s="25"/>
      <c r="C4" s="49"/>
      <c r="D4" s="49"/>
      <c r="E4" s="5">
        <f>+B4-D4-C4</f>
        <v>0</v>
      </c>
      <c r="F4" s="5"/>
      <c r="G4" s="46"/>
      <c r="H4" s="6">
        <f>G4</f>
        <v>0</v>
      </c>
      <c r="I4" s="7"/>
      <c r="J4" s="16"/>
      <c r="K4" s="17"/>
      <c r="L4" s="17"/>
      <c r="M4" s="17"/>
      <c r="N4" s="17"/>
      <c r="O4" s="17"/>
      <c r="P4" s="17"/>
      <c r="Q4" s="18"/>
      <c r="R4" s="17"/>
      <c r="S4" s="18"/>
      <c r="T4" s="17"/>
      <c r="U4" s="18"/>
      <c r="V4" s="17"/>
      <c r="W4" s="23">
        <f t="shared" ref="W4:W34" si="0">SUM(K4:V4)</f>
        <v>0</v>
      </c>
    </row>
    <row r="5" spans="1:23">
      <c r="A5" s="4"/>
      <c r="B5" s="25"/>
      <c r="C5" s="49"/>
      <c r="D5" s="49"/>
      <c r="E5" s="5">
        <f t="shared" ref="E5:E34" si="1">+B5-D5-C5</f>
        <v>0</v>
      </c>
      <c r="F5" s="5"/>
      <c r="G5" s="46"/>
      <c r="H5" s="6">
        <f>G5+H4</f>
        <v>0</v>
      </c>
      <c r="I5" s="7"/>
      <c r="J5" s="16"/>
      <c r="K5" s="17"/>
      <c r="L5" s="17"/>
      <c r="M5" s="17"/>
      <c r="N5" s="17"/>
      <c r="O5" s="17"/>
      <c r="P5" s="17"/>
      <c r="Q5" s="18"/>
      <c r="R5" s="17"/>
      <c r="S5" s="18"/>
      <c r="T5" s="17"/>
      <c r="U5" s="18"/>
      <c r="V5" s="17"/>
      <c r="W5" s="23">
        <f t="shared" si="0"/>
        <v>0</v>
      </c>
    </row>
    <row r="6" spans="1:23">
      <c r="A6" s="4"/>
      <c r="B6" s="25"/>
      <c r="C6" s="49"/>
      <c r="D6" s="49"/>
      <c r="E6" s="5">
        <f t="shared" si="1"/>
        <v>0</v>
      </c>
      <c r="F6" s="5"/>
      <c r="G6" s="46"/>
      <c r="H6" s="6">
        <f>G6+H5</f>
        <v>0</v>
      </c>
      <c r="I6" s="7"/>
      <c r="J6" s="16"/>
      <c r="K6" s="17"/>
      <c r="L6" s="17"/>
      <c r="M6" s="17"/>
      <c r="N6" s="17"/>
      <c r="O6" s="17"/>
      <c r="P6" s="17"/>
      <c r="Q6" s="18"/>
      <c r="R6" s="17"/>
      <c r="S6" s="18"/>
      <c r="T6" s="17"/>
      <c r="U6" s="18"/>
      <c r="V6" s="17"/>
      <c r="W6" s="23">
        <f t="shared" si="0"/>
        <v>0</v>
      </c>
    </row>
    <row r="7" spans="1:23">
      <c r="A7" s="4"/>
      <c r="B7" s="25"/>
      <c r="C7" s="49"/>
      <c r="D7" s="49"/>
      <c r="E7" s="5">
        <f t="shared" si="1"/>
        <v>0</v>
      </c>
      <c r="F7" s="5"/>
      <c r="G7" s="46"/>
      <c r="H7" s="6">
        <f t="shared" ref="H7:H34" si="2">G7+H6</f>
        <v>0</v>
      </c>
      <c r="I7" s="7"/>
      <c r="J7" s="16"/>
      <c r="K7" s="17"/>
      <c r="L7" s="17"/>
      <c r="M7" s="17"/>
      <c r="N7" s="17"/>
      <c r="O7" s="17"/>
      <c r="P7" s="17"/>
      <c r="Q7" s="18"/>
      <c r="R7" s="17"/>
      <c r="S7" s="18"/>
      <c r="T7" s="17"/>
      <c r="U7" s="18"/>
      <c r="V7" s="17"/>
      <c r="W7" s="23">
        <f t="shared" si="0"/>
        <v>0</v>
      </c>
    </row>
    <row r="8" spans="1:23">
      <c r="A8" s="4"/>
      <c r="B8" s="25"/>
      <c r="C8" s="49"/>
      <c r="D8" s="49"/>
      <c r="E8" s="5">
        <f t="shared" si="1"/>
        <v>0</v>
      </c>
      <c r="F8" s="5"/>
      <c r="G8" s="46"/>
      <c r="H8" s="6">
        <f t="shared" si="2"/>
        <v>0</v>
      </c>
      <c r="I8" s="7"/>
      <c r="J8" s="16"/>
      <c r="K8" s="17"/>
      <c r="L8" s="17"/>
      <c r="M8" s="17"/>
      <c r="N8" s="17"/>
      <c r="O8" s="17"/>
      <c r="P8" s="17"/>
      <c r="Q8" s="18"/>
      <c r="R8" s="17"/>
      <c r="S8" s="18"/>
      <c r="T8" s="17"/>
      <c r="U8" s="18"/>
      <c r="V8" s="17"/>
      <c r="W8" s="23">
        <f t="shared" si="0"/>
        <v>0</v>
      </c>
    </row>
    <row r="9" spans="1:23">
      <c r="A9" s="4"/>
      <c r="B9" s="25"/>
      <c r="C9" s="49"/>
      <c r="D9" s="49"/>
      <c r="E9" s="5">
        <f t="shared" si="1"/>
        <v>0</v>
      </c>
      <c r="F9" s="5"/>
      <c r="G9" s="46"/>
      <c r="H9" s="6">
        <f t="shared" si="2"/>
        <v>0</v>
      </c>
      <c r="I9" s="7"/>
      <c r="J9" s="16"/>
      <c r="K9" s="17"/>
      <c r="L9" s="17"/>
      <c r="M9" s="17"/>
      <c r="N9" s="17"/>
      <c r="O9" s="17"/>
      <c r="P9" s="17"/>
      <c r="Q9" s="18"/>
      <c r="R9" s="17"/>
      <c r="S9" s="18"/>
      <c r="T9" s="17"/>
      <c r="U9" s="18"/>
      <c r="V9" s="17"/>
      <c r="W9" s="23">
        <f t="shared" si="0"/>
        <v>0</v>
      </c>
    </row>
    <row r="10" spans="1:23">
      <c r="A10" s="4"/>
      <c r="B10" s="25"/>
      <c r="C10" s="49"/>
      <c r="D10" s="49"/>
      <c r="E10" s="5">
        <f t="shared" si="1"/>
        <v>0</v>
      </c>
      <c r="F10" s="5"/>
      <c r="G10" s="46"/>
      <c r="H10" s="6">
        <f t="shared" si="2"/>
        <v>0</v>
      </c>
      <c r="I10" s="7"/>
      <c r="J10" s="16"/>
      <c r="K10" s="17"/>
      <c r="L10" s="17"/>
      <c r="M10" s="17"/>
      <c r="N10" s="17"/>
      <c r="O10" s="17"/>
      <c r="P10" s="17"/>
      <c r="Q10" s="18"/>
      <c r="R10" s="17"/>
      <c r="S10" s="18"/>
      <c r="T10" s="17"/>
      <c r="U10" s="18"/>
      <c r="V10" s="17"/>
      <c r="W10" s="23">
        <f t="shared" si="0"/>
        <v>0</v>
      </c>
    </row>
    <row r="11" spans="1:23">
      <c r="A11" s="4"/>
      <c r="B11" s="26"/>
      <c r="C11" s="49"/>
      <c r="D11" s="49"/>
      <c r="E11" s="5">
        <f t="shared" si="1"/>
        <v>0</v>
      </c>
      <c r="F11" s="5"/>
      <c r="G11" s="46"/>
      <c r="H11" s="6">
        <f t="shared" si="2"/>
        <v>0</v>
      </c>
      <c r="I11" s="7"/>
      <c r="J11" s="16"/>
      <c r="K11" s="17"/>
      <c r="L11" s="17"/>
      <c r="M11" s="17"/>
      <c r="N11" s="17"/>
      <c r="O11" s="17"/>
      <c r="P11" s="17"/>
      <c r="Q11" s="18"/>
      <c r="R11" s="17"/>
      <c r="S11" s="18"/>
      <c r="T11" s="17"/>
      <c r="U11" s="18"/>
      <c r="V11" s="17"/>
      <c r="W11" s="23">
        <f t="shared" si="0"/>
        <v>0</v>
      </c>
    </row>
    <row r="12" spans="1:23">
      <c r="A12" s="4"/>
      <c r="B12" s="25"/>
      <c r="C12" s="49"/>
      <c r="D12" s="49"/>
      <c r="E12" s="5">
        <f t="shared" si="1"/>
        <v>0</v>
      </c>
      <c r="F12" s="5"/>
      <c r="G12" s="46"/>
      <c r="H12" s="6">
        <f t="shared" si="2"/>
        <v>0</v>
      </c>
      <c r="I12" s="7"/>
      <c r="J12" s="16"/>
      <c r="K12" s="17"/>
      <c r="L12" s="17"/>
      <c r="M12" s="17"/>
      <c r="N12" s="17"/>
      <c r="O12" s="17"/>
      <c r="P12" s="17"/>
      <c r="Q12" s="18"/>
      <c r="R12" s="17"/>
      <c r="S12" s="18"/>
      <c r="T12" s="17"/>
      <c r="U12" s="18"/>
      <c r="V12" s="17"/>
      <c r="W12" s="23">
        <f t="shared" si="0"/>
        <v>0</v>
      </c>
    </row>
    <row r="13" spans="1:23">
      <c r="A13" s="4"/>
      <c r="B13" s="9"/>
      <c r="C13" s="49"/>
      <c r="D13" s="49"/>
      <c r="E13" s="5">
        <f t="shared" si="1"/>
        <v>0</v>
      </c>
      <c r="F13" s="5"/>
      <c r="G13" s="46"/>
      <c r="H13" s="6">
        <f t="shared" si="2"/>
        <v>0</v>
      </c>
      <c r="I13" s="7"/>
      <c r="J13" s="16"/>
      <c r="K13" s="17"/>
      <c r="L13" s="17"/>
      <c r="M13" s="17"/>
      <c r="N13" s="17"/>
      <c r="O13" s="17"/>
      <c r="P13" s="17"/>
      <c r="Q13" s="18"/>
      <c r="R13" s="17"/>
      <c r="S13" s="18"/>
      <c r="T13" s="17"/>
      <c r="U13" s="18"/>
      <c r="V13" s="17"/>
      <c r="W13" s="23">
        <f t="shared" si="0"/>
        <v>0</v>
      </c>
    </row>
    <row r="14" spans="1:23">
      <c r="A14" s="4"/>
      <c r="B14" s="9"/>
      <c r="C14" s="49"/>
      <c r="D14" s="49"/>
      <c r="E14" s="5">
        <f t="shared" si="1"/>
        <v>0</v>
      </c>
      <c r="F14" s="5"/>
      <c r="G14" s="46"/>
      <c r="H14" s="6">
        <f t="shared" si="2"/>
        <v>0</v>
      </c>
      <c r="I14" s="7"/>
      <c r="J14" s="16"/>
      <c r="K14" s="17"/>
      <c r="L14" s="17"/>
      <c r="M14" s="17"/>
      <c r="N14" s="17"/>
      <c r="O14" s="17"/>
      <c r="P14" s="17"/>
      <c r="Q14" s="18"/>
      <c r="R14" s="17"/>
      <c r="S14" s="18"/>
      <c r="T14" s="17"/>
      <c r="U14" s="18"/>
      <c r="V14" s="17"/>
      <c r="W14" s="23">
        <f t="shared" si="0"/>
        <v>0</v>
      </c>
    </row>
    <row r="15" spans="1:23">
      <c r="A15" s="4"/>
      <c r="B15" s="10"/>
      <c r="C15" s="49"/>
      <c r="D15" s="49"/>
      <c r="E15" s="5">
        <f t="shared" si="1"/>
        <v>0</v>
      </c>
      <c r="F15" s="5"/>
      <c r="G15" s="46"/>
      <c r="H15" s="6">
        <f t="shared" si="2"/>
        <v>0</v>
      </c>
      <c r="I15" s="7"/>
      <c r="J15" s="16"/>
      <c r="K15" s="17"/>
      <c r="L15" s="17"/>
      <c r="M15" s="17"/>
      <c r="N15" s="17"/>
      <c r="O15" s="17"/>
      <c r="P15" s="17"/>
      <c r="Q15" s="18"/>
      <c r="R15" s="17"/>
      <c r="S15" s="18"/>
      <c r="T15" s="17"/>
      <c r="U15" s="18"/>
      <c r="V15" s="17"/>
      <c r="W15" s="23">
        <f t="shared" si="0"/>
        <v>0</v>
      </c>
    </row>
    <row r="16" spans="1:23">
      <c r="A16" s="4"/>
      <c r="B16" s="25"/>
      <c r="C16" s="49"/>
      <c r="D16" s="49"/>
      <c r="E16" s="5">
        <f t="shared" si="1"/>
        <v>0</v>
      </c>
      <c r="F16" s="5"/>
      <c r="G16" s="46"/>
      <c r="H16" s="6">
        <f t="shared" si="2"/>
        <v>0</v>
      </c>
      <c r="I16" s="7"/>
      <c r="J16" s="16"/>
      <c r="K16" s="17"/>
      <c r="L16" s="17"/>
      <c r="M16" s="17"/>
      <c r="N16" s="17"/>
      <c r="O16" s="17"/>
      <c r="P16" s="17"/>
      <c r="Q16" s="18"/>
      <c r="R16" s="17"/>
      <c r="S16" s="18"/>
      <c r="T16" s="17"/>
      <c r="U16" s="18"/>
      <c r="V16" s="17"/>
      <c r="W16" s="23">
        <f t="shared" si="0"/>
        <v>0</v>
      </c>
    </row>
    <row r="17" spans="1:23">
      <c r="A17" s="4"/>
      <c r="B17" s="25"/>
      <c r="C17" s="49"/>
      <c r="D17" s="49"/>
      <c r="E17" s="5">
        <f t="shared" si="1"/>
        <v>0</v>
      </c>
      <c r="F17" s="5"/>
      <c r="G17" s="46"/>
      <c r="H17" s="6">
        <f t="shared" si="2"/>
        <v>0</v>
      </c>
      <c r="I17" s="7"/>
      <c r="J17" s="16"/>
      <c r="K17" s="17"/>
      <c r="L17" s="17"/>
      <c r="M17" s="17"/>
      <c r="N17" s="17"/>
      <c r="O17" s="17"/>
      <c r="P17" s="17"/>
      <c r="Q17" s="18"/>
      <c r="R17" s="17"/>
      <c r="S17" s="18"/>
      <c r="T17" s="17"/>
      <c r="U17" s="18"/>
      <c r="V17" s="17"/>
      <c r="W17" s="23">
        <f t="shared" si="0"/>
        <v>0</v>
      </c>
    </row>
    <row r="18" spans="1:23">
      <c r="A18" s="4"/>
      <c r="B18" s="25"/>
      <c r="C18" s="49"/>
      <c r="D18" s="49"/>
      <c r="E18" s="5">
        <f t="shared" si="1"/>
        <v>0</v>
      </c>
      <c r="F18" s="5"/>
      <c r="G18" s="46"/>
      <c r="H18" s="6">
        <f t="shared" si="2"/>
        <v>0</v>
      </c>
      <c r="I18" s="7"/>
      <c r="J18" s="16"/>
      <c r="K18" s="17"/>
      <c r="L18" s="17"/>
      <c r="M18" s="17"/>
      <c r="N18" s="17"/>
      <c r="O18" s="17"/>
      <c r="P18" s="17"/>
      <c r="Q18" s="18"/>
      <c r="R18" s="17"/>
      <c r="S18" s="18"/>
      <c r="T18" s="17"/>
      <c r="U18" s="18"/>
      <c r="V18" s="17"/>
      <c r="W18" s="23">
        <f t="shared" si="0"/>
        <v>0</v>
      </c>
    </row>
    <row r="19" spans="1:23">
      <c r="A19" s="4"/>
      <c r="B19" s="25"/>
      <c r="C19" s="49"/>
      <c r="D19" s="49"/>
      <c r="E19" s="5">
        <f t="shared" si="1"/>
        <v>0</v>
      </c>
      <c r="F19" s="5"/>
      <c r="G19" s="46"/>
      <c r="H19" s="6">
        <f t="shared" si="2"/>
        <v>0</v>
      </c>
      <c r="I19" s="7"/>
      <c r="J19" s="16"/>
      <c r="K19" s="17"/>
      <c r="L19" s="17"/>
      <c r="M19" s="17"/>
      <c r="N19" s="17"/>
      <c r="O19" s="17"/>
      <c r="P19" s="17"/>
      <c r="Q19" s="18"/>
      <c r="R19" s="17"/>
      <c r="S19" s="18"/>
      <c r="T19" s="17"/>
      <c r="U19" s="18"/>
      <c r="V19" s="17"/>
      <c r="W19" s="23">
        <f t="shared" si="0"/>
        <v>0</v>
      </c>
    </row>
    <row r="20" spans="1:23">
      <c r="A20" s="4"/>
      <c r="B20" s="25"/>
      <c r="C20" s="49"/>
      <c r="D20" s="49"/>
      <c r="E20" s="5">
        <f t="shared" si="1"/>
        <v>0</v>
      </c>
      <c r="F20" s="5"/>
      <c r="G20" s="46"/>
      <c r="H20" s="6">
        <f t="shared" si="2"/>
        <v>0</v>
      </c>
      <c r="I20" s="7"/>
      <c r="J20" s="16"/>
      <c r="K20" s="17"/>
      <c r="L20" s="17"/>
      <c r="M20" s="17"/>
      <c r="N20" s="17"/>
      <c r="O20" s="17"/>
      <c r="P20" s="17"/>
      <c r="Q20" s="18"/>
      <c r="R20" s="17"/>
      <c r="S20" s="18"/>
      <c r="T20" s="17"/>
      <c r="U20" s="18"/>
      <c r="V20" s="17"/>
      <c r="W20" s="23">
        <f t="shared" si="0"/>
        <v>0</v>
      </c>
    </row>
    <row r="21" spans="1:23">
      <c r="A21" s="4"/>
      <c r="B21" s="50"/>
      <c r="C21" s="49"/>
      <c r="D21" s="49"/>
      <c r="E21" s="5">
        <f t="shared" si="1"/>
        <v>0</v>
      </c>
      <c r="F21" s="5"/>
      <c r="G21" s="47"/>
      <c r="H21" s="6">
        <f t="shared" si="2"/>
        <v>0</v>
      </c>
      <c r="I21" s="7"/>
      <c r="J21" s="16"/>
      <c r="K21" s="17"/>
      <c r="L21" s="17"/>
      <c r="M21" s="17"/>
      <c r="N21" s="17"/>
      <c r="O21" s="17"/>
      <c r="P21" s="17"/>
      <c r="Q21" s="18"/>
      <c r="R21" s="17"/>
      <c r="S21" s="18"/>
      <c r="T21" s="17"/>
      <c r="U21" s="18"/>
      <c r="V21" s="17"/>
      <c r="W21" s="23">
        <f t="shared" si="0"/>
        <v>0</v>
      </c>
    </row>
    <row r="22" spans="1:23">
      <c r="A22" s="4"/>
      <c r="B22" s="25"/>
      <c r="C22" s="49"/>
      <c r="D22" s="49"/>
      <c r="E22" s="5">
        <f t="shared" si="1"/>
        <v>0</v>
      </c>
      <c r="F22" s="5"/>
      <c r="G22" s="46"/>
      <c r="H22" s="6">
        <f t="shared" si="2"/>
        <v>0</v>
      </c>
      <c r="I22" s="7"/>
      <c r="J22" s="16"/>
      <c r="K22" s="17"/>
      <c r="L22" s="17"/>
      <c r="M22" s="17"/>
      <c r="N22" s="17"/>
      <c r="O22" s="17"/>
      <c r="P22" s="17"/>
      <c r="Q22" s="18"/>
      <c r="R22" s="17"/>
      <c r="S22" s="18"/>
      <c r="T22" s="17"/>
      <c r="U22" s="18"/>
      <c r="V22" s="17"/>
      <c r="W22" s="23">
        <f t="shared" si="0"/>
        <v>0</v>
      </c>
    </row>
    <row r="23" spans="1:23">
      <c r="A23" s="4"/>
      <c r="B23" s="25"/>
      <c r="C23" s="49"/>
      <c r="D23" s="49"/>
      <c r="E23" s="5">
        <f t="shared" si="1"/>
        <v>0</v>
      </c>
      <c r="F23" s="5"/>
      <c r="G23" s="46"/>
      <c r="H23" s="6">
        <f t="shared" si="2"/>
        <v>0</v>
      </c>
      <c r="I23" s="7"/>
      <c r="J23" s="16"/>
      <c r="K23" s="17"/>
      <c r="L23" s="17"/>
      <c r="M23" s="17"/>
      <c r="N23" s="17"/>
      <c r="O23" s="17"/>
      <c r="P23" s="17"/>
      <c r="Q23" s="18"/>
      <c r="R23" s="17"/>
      <c r="S23" s="18"/>
      <c r="T23" s="17"/>
      <c r="U23" s="18"/>
      <c r="V23" s="17"/>
      <c r="W23" s="23">
        <f t="shared" si="0"/>
        <v>0</v>
      </c>
    </row>
    <row r="24" spans="1:23">
      <c r="A24" s="4"/>
      <c r="B24" s="25"/>
      <c r="C24" s="49"/>
      <c r="D24" s="49"/>
      <c r="E24" s="5">
        <f t="shared" si="1"/>
        <v>0</v>
      </c>
      <c r="F24" s="5"/>
      <c r="G24" s="46"/>
      <c r="H24" s="6">
        <f t="shared" si="2"/>
        <v>0</v>
      </c>
      <c r="I24" s="7"/>
      <c r="J24" s="16"/>
      <c r="K24" s="17"/>
      <c r="L24" s="17"/>
      <c r="M24" s="17"/>
      <c r="N24" s="17"/>
      <c r="O24" s="17"/>
      <c r="P24" s="17"/>
      <c r="Q24" s="18"/>
      <c r="R24" s="17"/>
      <c r="S24" s="18"/>
      <c r="T24" s="17"/>
      <c r="U24" s="18"/>
      <c r="V24" s="17"/>
      <c r="W24" s="23">
        <f t="shared" si="0"/>
        <v>0</v>
      </c>
    </row>
    <row r="25" spans="1:23">
      <c r="A25" s="4"/>
      <c r="B25" s="25"/>
      <c r="C25" s="49"/>
      <c r="D25" s="49"/>
      <c r="E25" s="5">
        <f t="shared" si="1"/>
        <v>0</v>
      </c>
      <c r="F25" s="5"/>
      <c r="G25" s="46"/>
      <c r="H25" s="6">
        <f t="shared" si="2"/>
        <v>0</v>
      </c>
      <c r="I25" s="7"/>
      <c r="J25" s="16"/>
      <c r="K25" s="17"/>
      <c r="L25" s="17"/>
      <c r="M25" s="17"/>
      <c r="N25" s="17"/>
      <c r="O25" s="17"/>
      <c r="P25" s="17"/>
      <c r="Q25" s="18"/>
      <c r="R25" s="17"/>
      <c r="S25" s="18"/>
      <c r="T25" s="17"/>
      <c r="U25" s="18"/>
      <c r="V25" s="17"/>
      <c r="W25" s="23">
        <f t="shared" si="0"/>
        <v>0</v>
      </c>
    </row>
    <row r="26" spans="1:23">
      <c r="A26" s="4"/>
      <c r="B26" s="25"/>
      <c r="C26" s="49"/>
      <c r="D26" s="49"/>
      <c r="E26" s="5">
        <f t="shared" si="1"/>
        <v>0</v>
      </c>
      <c r="F26" s="5"/>
      <c r="G26" s="48"/>
      <c r="H26" s="6">
        <f t="shared" si="2"/>
        <v>0</v>
      </c>
      <c r="I26" s="7"/>
      <c r="J26" s="16"/>
      <c r="K26" s="17"/>
      <c r="L26" s="17"/>
      <c r="M26" s="17"/>
      <c r="N26" s="17"/>
      <c r="O26" s="17"/>
      <c r="P26" s="17"/>
      <c r="Q26" s="18"/>
      <c r="R26" s="17"/>
      <c r="S26" s="18"/>
      <c r="T26" s="17"/>
      <c r="U26" s="18"/>
      <c r="V26" s="17"/>
      <c r="W26" s="23">
        <f t="shared" si="0"/>
        <v>0</v>
      </c>
    </row>
    <row r="27" spans="1:23">
      <c r="A27" s="4"/>
      <c r="B27" s="25"/>
      <c r="C27" s="49"/>
      <c r="D27" s="49"/>
      <c r="E27" s="5">
        <f t="shared" si="1"/>
        <v>0</v>
      </c>
      <c r="F27" s="5"/>
      <c r="G27" s="46"/>
      <c r="H27" s="6">
        <f t="shared" si="2"/>
        <v>0</v>
      </c>
      <c r="I27" s="7"/>
      <c r="J27" s="16"/>
      <c r="K27" s="17"/>
      <c r="L27" s="17"/>
      <c r="M27" s="17"/>
      <c r="N27" s="17"/>
      <c r="O27" s="17"/>
      <c r="P27" s="17"/>
      <c r="Q27" s="18"/>
      <c r="R27" s="17"/>
      <c r="S27" s="18"/>
      <c r="T27" s="17"/>
      <c r="U27" s="18"/>
      <c r="V27" s="17"/>
      <c r="W27" s="23">
        <f t="shared" si="0"/>
        <v>0</v>
      </c>
    </row>
    <row r="28" spans="1:23">
      <c r="A28" s="4"/>
      <c r="B28" s="25"/>
      <c r="C28" s="49"/>
      <c r="D28" s="49"/>
      <c r="E28" s="5">
        <f t="shared" si="1"/>
        <v>0</v>
      </c>
      <c r="F28" s="5"/>
      <c r="G28" s="46"/>
      <c r="H28" s="6">
        <f t="shared" si="2"/>
        <v>0</v>
      </c>
      <c r="I28" s="7"/>
      <c r="J28" s="16"/>
      <c r="K28" s="17"/>
      <c r="L28" s="17"/>
      <c r="M28" s="17"/>
      <c r="N28" s="17"/>
      <c r="O28" s="17"/>
      <c r="P28" s="17"/>
      <c r="Q28" s="18"/>
      <c r="R28" s="17"/>
      <c r="S28" s="18"/>
      <c r="T28" s="17"/>
      <c r="U28" s="18"/>
      <c r="V28" s="17"/>
      <c r="W28" s="23">
        <f t="shared" si="0"/>
        <v>0</v>
      </c>
    </row>
    <row r="29" spans="1:23">
      <c r="A29" s="4"/>
      <c r="B29" s="25"/>
      <c r="C29" s="49"/>
      <c r="D29" s="49"/>
      <c r="E29" s="5">
        <f t="shared" si="1"/>
        <v>0</v>
      </c>
      <c r="F29" s="5"/>
      <c r="G29" s="46"/>
      <c r="H29" s="6">
        <f t="shared" si="2"/>
        <v>0</v>
      </c>
      <c r="I29" s="7"/>
      <c r="J29" s="16"/>
      <c r="K29" s="17"/>
      <c r="L29" s="17"/>
      <c r="M29" s="17"/>
      <c r="N29" s="17"/>
      <c r="O29" s="17"/>
      <c r="P29" s="17"/>
      <c r="Q29" s="18"/>
      <c r="R29" s="17"/>
      <c r="S29" s="18"/>
      <c r="T29" s="17"/>
      <c r="U29" s="18"/>
      <c r="V29" s="17"/>
      <c r="W29" s="23">
        <f t="shared" si="0"/>
        <v>0</v>
      </c>
    </row>
    <row r="30" spans="1:23">
      <c r="A30" s="4"/>
      <c r="B30" s="25"/>
      <c r="C30" s="49"/>
      <c r="D30" s="49"/>
      <c r="E30" s="5">
        <f t="shared" si="1"/>
        <v>0</v>
      </c>
      <c r="F30" s="5"/>
      <c r="G30" s="46"/>
      <c r="H30" s="6">
        <f t="shared" si="2"/>
        <v>0</v>
      </c>
      <c r="I30" s="7"/>
      <c r="J30" s="16"/>
      <c r="K30" s="17"/>
      <c r="L30" s="17"/>
      <c r="M30" s="17"/>
      <c r="N30" s="17"/>
      <c r="O30" s="17"/>
      <c r="P30" s="17"/>
      <c r="Q30" s="18"/>
      <c r="R30" s="17"/>
      <c r="S30" s="18"/>
      <c r="T30" s="17"/>
      <c r="U30" s="18"/>
      <c r="V30" s="17"/>
      <c r="W30" s="23">
        <f t="shared" si="0"/>
        <v>0</v>
      </c>
    </row>
    <row r="31" spans="1:23">
      <c r="A31" s="4"/>
      <c r="B31" s="25"/>
      <c r="C31" s="49"/>
      <c r="D31" s="49"/>
      <c r="E31" s="5">
        <f t="shared" si="1"/>
        <v>0</v>
      </c>
      <c r="F31" s="5"/>
      <c r="G31" s="46"/>
      <c r="H31" s="6">
        <f>G31+H30</f>
        <v>0</v>
      </c>
      <c r="I31" s="7"/>
      <c r="J31" s="16"/>
      <c r="K31" s="17"/>
      <c r="L31" s="17"/>
      <c r="M31" s="17"/>
      <c r="N31" s="17"/>
      <c r="O31" s="17"/>
      <c r="P31" s="17"/>
      <c r="Q31" s="18"/>
      <c r="R31" s="17"/>
      <c r="S31" s="18"/>
      <c r="T31" s="17"/>
      <c r="U31" s="18"/>
      <c r="V31" s="17"/>
      <c r="W31" s="23">
        <f t="shared" si="0"/>
        <v>0</v>
      </c>
    </row>
    <row r="32" spans="1:23">
      <c r="A32" s="4"/>
      <c r="B32" s="25"/>
      <c r="C32" s="49"/>
      <c r="D32" s="49"/>
      <c r="E32" s="5">
        <f t="shared" si="1"/>
        <v>0</v>
      </c>
      <c r="F32" s="5"/>
      <c r="G32" s="46"/>
      <c r="H32" s="6">
        <f t="shared" si="2"/>
        <v>0</v>
      </c>
      <c r="I32" s="7"/>
      <c r="J32" s="16"/>
      <c r="K32" s="17"/>
      <c r="L32" s="17"/>
      <c r="M32" s="17"/>
      <c r="N32" s="17"/>
      <c r="O32" s="17"/>
      <c r="P32" s="17"/>
      <c r="Q32" s="18"/>
      <c r="R32" s="17"/>
      <c r="S32" s="18"/>
      <c r="T32" s="17"/>
      <c r="U32" s="18"/>
      <c r="V32" s="17"/>
      <c r="W32" s="23">
        <f t="shared" si="0"/>
        <v>0</v>
      </c>
    </row>
    <row r="33" spans="1:23">
      <c r="A33" s="4"/>
      <c r="B33" s="8"/>
      <c r="C33" s="49"/>
      <c r="D33" s="49"/>
      <c r="E33" s="5">
        <f t="shared" si="1"/>
        <v>0</v>
      </c>
      <c r="F33" s="5"/>
      <c r="G33" s="46"/>
      <c r="H33" s="6">
        <f t="shared" si="2"/>
        <v>0</v>
      </c>
      <c r="I33" s="7"/>
      <c r="J33" s="16"/>
      <c r="K33" s="17"/>
      <c r="L33" s="17"/>
      <c r="M33" s="17"/>
      <c r="N33" s="17"/>
      <c r="O33" s="17"/>
      <c r="P33" s="17"/>
      <c r="Q33" s="18"/>
      <c r="R33" s="17"/>
      <c r="S33" s="18"/>
      <c r="T33" s="17"/>
      <c r="U33" s="18"/>
      <c r="V33" s="17"/>
      <c r="W33" s="23">
        <f t="shared" si="0"/>
        <v>0</v>
      </c>
    </row>
    <row r="34" spans="1:23">
      <c r="A34" s="4"/>
      <c r="B34" s="92"/>
      <c r="C34" s="49"/>
      <c r="D34" s="49"/>
      <c r="E34" s="5">
        <f t="shared" si="1"/>
        <v>0</v>
      </c>
      <c r="F34" s="5"/>
      <c r="G34" s="46"/>
      <c r="H34" s="6">
        <f t="shared" si="2"/>
        <v>0</v>
      </c>
      <c r="I34" s="7"/>
      <c r="J34" s="16"/>
      <c r="K34" s="17"/>
      <c r="L34" s="17"/>
      <c r="M34" s="17"/>
      <c r="N34" s="17"/>
      <c r="O34" s="17"/>
      <c r="P34" s="17"/>
      <c r="Q34" s="18"/>
      <c r="R34" s="17"/>
      <c r="S34" s="18"/>
      <c r="T34" s="17"/>
      <c r="U34" s="18"/>
      <c r="V34" s="17"/>
      <c r="W34" s="23">
        <f t="shared" si="0"/>
        <v>0</v>
      </c>
    </row>
    <row r="35" spans="1:23">
      <c r="A35" s="91" t="s">
        <v>150</v>
      </c>
      <c r="B35" s="93">
        <f>SUM(B4:B34)</f>
        <v>0</v>
      </c>
      <c r="C35" s="93">
        <f t="shared" ref="C35:G35" si="3">SUM(C4:C34)</f>
        <v>0</v>
      </c>
      <c r="D35" s="93">
        <f t="shared" si="3"/>
        <v>0</v>
      </c>
      <c r="E35" s="93">
        <f t="shared" si="3"/>
        <v>0</v>
      </c>
      <c r="F35" s="93">
        <f>F34</f>
        <v>0</v>
      </c>
      <c r="G35" s="93">
        <f t="shared" si="3"/>
        <v>0</v>
      </c>
      <c r="H35" s="97">
        <f>H34</f>
        <v>0</v>
      </c>
      <c r="I35" s="12">
        <f>SUM(I4:I34)</f>
        <v>0</v>
      </c>
      <c r="J35" s="12">
        <f>J34</f>
        <v>0</v>
      </c>
      <c r="K35" s="19">
        <f t="shared" ref="K35:W35" si="4">SUM(K4:K34)</f>
        <v>0</v>
      </c>
      <c r="L35" s="19">
        <f t="shared" si="4"/>
        <v>0</v>
      </c>
      <c r="M35" s="19">
        <f t="shared" si="4"/>
        <v>0</v>
      </c>
      <c r="N35" s="19">
        <f t="shared" si="4"/>
        <v>0</v>
      </c>
      <c r="O35" s="19">
        <f t="shared" si="4"/>
        <v>0</v>
      </c>
      <c r="P35" s="19">
        <f t="shared" si="4"/>
        <v>0</v>
      </c>
      <c r="Q35" s="19">
        <f t="shared" si="4"/>
        <v>0</v>
      </c>
      <c r="R35" s="19">
        <f t="shared" si="4"/>
        <v>0</v>
      </c>
      <c r="S35" s="19">
        <f t="shared" si="4"/>
        <v>0</v>
      </c>
      <c r="T35" s="19">
        <f t="shared" si="4"/>
        <v>0</v>
      </c>
      <c r="U35" s="19">
        <f t="shared" si="4"/>
        <v>0</v>
      </c>
      <c r="V35" s="19">
        <f t="shared" si="4"/>
        <v>0</v>
      </c>
      <c r="W35" s="19">
        <f t="shared" si="4"/>
        <v>0</v>
      </c>
    </row>
  </sheetData>
  <mergeCells count="2">
    <mergeCell ref="A1:I1"/>
    <mergeCell ref="J1:W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3</vt:i4>
      </vt:variant>
    </vt:vector>
  </HeadingPairs>
  <TitlesOfParts>
    <vt:vector size="24" baseType="lpstr">
      <vt:lpstr>COST SHEET   (2)</vt:lpstr>
      <vt:lpstr>FRONT PAGE</vt:lpstr>
      <vt:lpstr>XETMA-1</vt:lpstr>
      <vt:lpstr>Osthoff-1</vt:lpstr>
      <vt:lpstr>Osthoff-2</vt:lpstr>
      <vt:lpstr>PTR</vt:lpstr>
      <vt:lpstr>NPS</vt:lpstr>
      <vt:lpstr>Perble</vt:lpstr>
      <vt:lpstr>Lafer-1</vt:lpstr>
      <vt:lpstr>Lafer-2</vt:lpstr>
      <vt:lpstr>Lafer-3</vt:lpstr>
      <vt:lpstr>Lafer-4</vt:lpstr>
      <vt:lpstr>Lafer-5-Raising</vt:lpstr>
      <vt:lpstr>Lafer-5-Shearing</vt:lpstr>
      <vt:lpstr>Soaper</vt:lpstr>
      <vt:lpstr>Merceriser-1</vt:lpstr>
      <vt:lpstr>Merceriser-2</vt:lpstr>
      <vt:lpstr>Xetma-2</vt:lpstr>
      <vt:lpstr>Swastik</vt:lpstr>
      <vt:lpstr>Xetma-3</vt:lpstr>
      <vt:lpstr>Sheet19</vt:lpstr>
      <vt:lpstr>'COST SHEET   (2)'!Print_Area</vt:lpstr>
      <vt:lpstr>'FRONT PAGE'!Print_Area</vt:lpstr>
      <vt:lpstr>'XETMA-1'!Print_Area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rajiv.kumar</dc:creator>
  <cp:lastModifiedBy>DELL</cp:lastModifiedBy>
  <cp:lastPrinted>2023-07-02T10:16:00Z</cp:lastPrinted>
  <dcterms:created xsi:type="dcterms:W3CDTF">2018-02-03T11:38:00Z</dcterms:created>
  <dcterms:modified xsi:type="dcterms:W3CDTF">2025-05-16T04:56:41Z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1033-11.2.0.11130</vt:lpwstr>
  </property>
  <property fmtid="{D5CDD505-2E9C-101B-9397-08002B2CF9AE}" pid="3" name="ICV">
    <vt:lpwstr>48897C4848D44F96AE566C7CE9E4C8CB</vt:lpwstr>
  </property>
</Properties>
</file>